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لوحة التحكم" sheetId="1" r:id="rId5"/>
    <sheet state="visible" name="إدخال الدرجات" sheetId="2" r:id="rId6"/>
    <sheet state="visible" name="تحليل الطلاب" sheetId="3" r:id="rId7"/>
    <sheet state="visible" name="الإعدادات" sheetId="4" r:id="rId8"/>
  </sheets>
  <definedNames/>
  <calcPr/>
</workbook>
</file>

<file path=xl/sharedStrings.xml><?xml version="1.0" encoding="utf-8"?>
<sst xmlns="http://schemas.openxmlformats.org/spreadsheetml/2006/main" count="331" uniqueCount="72">
  <si>
    <t>⚙️ إعدادات الدرجات</t>
  </si>
  <si>
    <t>📊 التحليل التفصيلي — يتحدث تلقائيًا مع كل درجة</t>
  </si>
  <si>
    <t>📚 سجل درجات الطلاب — أدخل الأسماء والدرجات في الخانات الزرقاء</t>
  </si>
  <si>
    <t>القيمة</t>
  </si>
  <si>
    <t>الوصف</t>
  </si>
  <si>
    <t>الدرجة القصوى</t>
  </si>
  <si>
    <t>كل امتحان من 100</t>
  </si>
  <si>
    <t>حد النجاح %</t>
  </si>
  <si>
    <t>قابل للتعديل</t>
  </si>
  <si>
    <t>عدد الطلاب</t>
  </si>
  <si>
    <t>صفوف الإدخال الجاهزة</t>
  </si>
  <si>
    <t>عدد الامتحانات</t>
  </si>
  <si>
    <t>امتحانات متساوية الوزن</t>
  </si>
  <si>
    <t>#</t>
  </si>
  <si>
    <t>اسم الطالب</t>
  </si>
  <si>
    <t>امتحان 1</t>
  </si>
  <si>
    <t>امتحان 2</t>
  </si>
  <si>
    <t>امتحان 3</t>
  </si>
  <si>
    <t>الترتيب</t>
  </si>
  <si>
    <t>امتحان 4</t>
  </si>
  <si>
    <t>امتحان 5</t>
  </si>
  <si>
    <t>امتحان 6</t>
  </si>
  <si>
    <t>المجموع</t>
  </si>
  <si>
    <t>المتوسط %</t>
  </si>
  <si>
    <t>الحالة</t>
  </si>
  <si>
    <t>ملاحظات</t>
  </si>
  <si>
    <t>آخر تحديث</t>
  </si>
  <si>
    <t>طالب 1</t>
  </si>
  <si>
    <t>أعلى امتحان</t>
  </si>
  <si>
    <t>أضعف امتحان</t>
  </si>
  <si>
    <t>الفارق عن المتوسط</t>
  </si>
  <si>
    <t>توصية</t>
  </si>
  <si>
    <t/>
  </si>
  <si>
    <t>طالب 2</t>
  </si>
  <si>
    <t>طالب 3</t>
  </si>
  <si>
    <t>طالب 4</t>
  </si>
  <si>
    <t>طالب 5</t>
  </si>
  <si>
    <t>طالب 6</t>
  </si>
  <si>
    <t>طالب 7</t>
  </si>
  <si>
    <t>طالب 8</t>
  </si>
  <si>
    <t>طالب 9</t>
  </si>
  <si>
    <t>طالب 10</t>
  </si>
  <si>
    <t>طالب 11</t>
  </si>
  <si>
    <t>طالب 12</t>
  </si>
  <si>
    <t>طالب 13</t>
  </si>
  <si>
    <t>طالب 14</t>
  </si>
  <si>
    <t>طالب 15</t>
  </si>
  <si>
    <t>✨ لوحة تحكم الأداء الأكاديمي</t>
  </si>
  <si>
    <t>طالب 16</t>
  </si>
  <si>
    <t>المتوسط العام %</t>
  </si>
  <si>
    <t>نسبة النجاح</t>
  </si>
  <si>
    <t>أعلى متوسط</t>
  </si>
  <si>
    <t>أدنى متوسط</t>
  </si>
  <si>
    <t>الامتحان الأقوى</t>
  </si>
  <si>
    <t>طالب 17</t>
  </si>
  <si>
    <t>طالب 18</t>
  </si>
  <si>
    <t>طالب 19</t>
  </si>
  <si>
    <t>طالب 20</t>
  </si>
  <si>
    <t>تحليل الامتحانات</t>
  </si>
  <si>
    <t>طالب 21</t>
  </si>
  <si>
    <t>الامتحان</t>
  </si>
  <si>
    <t>متوسط الصف</t>
  </si>
  <si>
    <t>نسبة الإتقان</t>
  </si>
  <si>
    <t>طالب 22</t>
  </si>
  <si>
    <t>طالب 23</t>
  </si>
  <si>
    <t>طالب 24</t>
  </si>
  <si>
    <t>طالب 25</t>
  </si>
  <si>
    <t>طالب 26</t>
  </si>
  <si>
    <t>طالب 27</t>
  </si>
  <si>
    <t>طالب 28</t>
  </si>
  <si>
    <t>طالب 29</t>
  </si>
  <si>
    <t>طالب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</si>
</sst>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15.0"/>
      <color rgb="FFFFFFFF"/>
      <name val="Arial"/>
    </font>
    <font>
      <sz val="10.0"/>
      <color rgb="FF102A43"/>
      <name val="Arial"/>
    </font>
    <font>
      <b/>
      <sz val="10.0"/>
      <color rgb="FFFFFFFF"/>
      <name val="Arial"/>
    </font>
    <font>
      <color theme="1"/>
      <name val="Arial"/>
      <scheme val="minor"/>
    </font>
    <font>
      <b/>
      <sz val="16.0"/>
      <color rgb="FFFFFFFF"/>
      <name val="Arial"/>
    </font>
    <font>
      <b/>
      <sz val="18.0"/>
      <color rgb="FF0F766E"/>
      <name val="Arial"/>
    </font>
    <font>
      <b/>
      <sz val="11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F4F7FB"/>
        <bgColor rgb="FFF4F7FB"/>
      </patternFill>
    </fill>
    <fill>
      <patternFill patternType="solid">
        <fgColor rgb="FF0F766E"/>
        <bgColor rgb="FF0F766E"/>
      </patternFill>
    </fill>
    <fill>
      <patternFill patternType="solid">
        <fgColor rgb="FFF8FAFC"/>
        <bgColor rgb="FFF8FAFC"/>
      </patternFill>
    </fill>
    <fill>
      <patternFill patternType="solid">
        <fgColor rgb="FFDCEEFF"/>
        <bgColor rgb="FFDCEEFF"/>
      </patternFill>
    </fill>
    <fill>
      <patternFill patternType="solid">
        <fgColor rgb="FFF1F5F9"/>
        <bgColor rgb="FFF1F5F9"/>
      </patternFill>
    </fill>
    <fill>
      <patternFill patternType="solid">
        <fgColor rgb="FFE6FFFB"/>
        <bgColor rgb="FFE6FFFB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/>
    </xf>
    <xf borderId="0" fillId="4" fontId="4" numFmtId="0" xfId="0" applyAlignment="1" applyFill="1" applyFont="1">
      <alignment horizontal="center" shrinkToFit="0" vertical="center" wrapText="1"/>
    </xf>
    <xf borderId="0" fillId="5" fontId="3" numFmtId="0" xfId="0" applyAlignment="1" applyFill="1" applyFont="1">
      <alignment horizontal="center"/>
    </xf>
    <xf borderId="0" fillId="6" fontId="3" numFmtId="0" xfId="0" applyAlignment="1" applyFill="1" applyFont="1">
      <alignment horizontal="center"/>
    </xf>
    <xf borderId="0" fillId="7" fontId="3" numFmtId="0" xfId="0" applyAlignment="1" applyFill="1" applyFont="1">
      <alignment horizontal="center"/>
    </xf>
    <xf borderId="0" fillId="7" fontId="3" numFmtId="164" xfId="0" applyAlignment="1" applyFill="1" applyFont="1" applyNumberFormat="1">
      <alignment horizontal="center"/>
    </xf>
    <xf borderId="0" fillId="3" fontId="3" numFmtId="164" xfId="0" applyAlignment="1" applyFill="1" applyFont="1" applyNumberFormat="1">
      <alignment horizontal="center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center" shrinkToFit="0" vertical="center" wrapText="1"/>
    </xf>
    <xf borderId="0" fillId="8" fontId="7" numFmtId="0" xfId="0" applyAlignment="1" applyFill="1" applyFont="1">
      <alignment horizontal="center" vertical="center"/>
    </xf>
    <xf borderId="0" fillId="8" fontId="7" numFmtId="164" xfId="0" applyAlignment="1" applyFill="1" applyFont="1" applyNumberFormat="1">
      <alignment horizontal="center" vertical="center"/>
    </xf>
    <xf borderId="0" fillId="8" fontId="7" numFmtId="9" xfId="0" applyAlignment="1" applyFill="1" applyFont="1" applyNumberFormat="1">
      <alignment horizontal="center" vertical="center"/>
    </xf>
    <xf borderId="0" fillId="2" fontId="8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vertical="center"/>
    </xf>
    <xf borderId="0" fillId="3" fontId="3" numFmtId="164" xfId="0" applyAlignment="1" applyFill="1" applyFont="1" applyNumberFormat="1">
      <alignment horizontal="center" vertical="center"/>
    </xf>
    <xf borderId="0" fillId="3" fontId="3" numFmtId="9" xfId="0" applyAlignment="1" applyFill="1" applyFont="1" applyNumberFormat="1">
      <alignment horizontal="center" vertical="center"/>
    </xf>
  </cellXfs>
  <cellStyles count="1">
    <cellStyle xfId="0" name="Normal" builtinId="0"/>
  </cellStyles>
  <dxfs count="2"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متوسط كل امتحان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'لوحة التحكم'!$A$10:$A$15</c:f>
            </c:strRef>
          </c:cat>
          <c:val>
            <c:numRef>
              <c:f>'لوحة التحكم'!$B$10:$B$15</c:f>
              <c:numCache/>
            </c:numRef>
          </c:val>
        </c:ser>
        <c:axId val="346701459"/>
        <c:axId val="1667543789"/>
      </c:barChart>
      <c:catAx>
        <c:axId val="346701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الامتحان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543789"/>
      </c:catAx>
      <c:valAx>
        <c:axId val="166754378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4670145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توزيع أداء أفضل الطلاب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cat>
            <c:strRef>
              <c:f>'لوحة التحكم'!$A$21:$A$26</c:f>
            </c:strRef>
          </c:cat>
          <c:val>
            <c:numRef>
              <c:f>'لوحة التحكم'!$B$21:$B$26</c:f>
              <c:numCache/>
            </c:numRef>
          </c:val>
        </c:ser>
        <c:axId val="109790513"/>
        <c:axId val="456728212"/>
      </c:barChart>
      <c:catAx>
        <c:axId val="1097905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728212"/>
      </c:catAx>
      <c:valAx>
        <c:axId val="456728212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0979051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5715000" cy="3048000"/>
    <xdr:graphicFrame>
      <xdr:nvGraphicFramePr>
        <xdr:cNvPr id="1" name="Chart 1" title="متوسط كل امتحان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18</xdr:row>
      <xdr:rowOff>0</xdr:rowOff>
    </xdr:from>
    <xdr:ext cx="5715000" cy="2857500"/>
    <xdr:graphicFrame>
      <xdr:nvGraphicFramePr>
        <xdr:cNvPr id="2" name="Chart 2" title="توزيع أداء أفضل الطلا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25"/>
    <col customWidth="1" min="2" max="2" width="11.63"/>
    <col customWidth="1" min="3" max="3" width="10.13"/>
    <col customWidth="1" min="4" max="5" width="7.88"/>
    <col customWidth="1" min="6" max="6" width="11.38"/>
  </cols>
  <sheetData>
    <row r="1">
      <c r="A1" s="11" t="s">
        <v>47</v>
      </c>
    </row>
    <row r="3">
      <c r="A3" s="4" t="s">
        <v>9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>
      <c r="A4" s="12">
        <f>COUNTA('إدخال الدرجات'!B3:B32)</f>
        <v>30</v>
      </c>
      <c r="B4" s="13" t="str">
        <f>IFERROR(AVERAGEIF('إدخال الدرجات'!J3:J32,"&gt;0"),"")</f>
        <v/>
      </c>
      <c r="C4" s="14">
        <f>IFERROR(COUNTIF('إدخال الدرجات'!K3:K32,"ناجح")/COUNTIF('إدخال الدرجات'!K3:K32,"&lt;&gt;") ,"")</f>
        <v>0</v>
      </c>
      <c r="D4" s="13">
        <f>IFERROR(MAX('إدخال الدرجات'!J3:J32),"")</f>
        <v>0</v>
      </c>
      <c r="E4" s="13" t="str">
        <f>IFERROR(__xludf.DUMMYFUNCTION("IFERROR(MIN(FILTER('إدخال الدرجات'!J3:J32,'إدخال الدرجات'!J3:J32&gt;0)),"""")"),"")</f>
        <v/>
      </c>
      <c r="F4" s="12" t="str">
        <f t="array" ref="F4">IFERROR(INDEX(B12:B17,MATCH(MAX(C12:C17),C12:C17,0)),"")</f>
        <v/>
      </c>
    </row>
    <row r="8">
      <c r="A8" s="15" t="s">
        <v>58</v>
      </c>
      <c r="B8" s="15" t="s">
        <v>32</v>
      </c>
      <c r="C8" s="15" t="s">
        <v>32</v>
      </c>
    </row>
    <row r="9">
      <c r="A9" s="15" t="s">
        <v>60</v>
      </c>
      <c r="B9" s="15" t="s">
        <v>61</v>
      </c>
      <c r="C9" s="15" t="s">
        <v>62</v>
      </c>
    </row>
    <row r="10">
      <c r="A10" s="16" t="s">
        <v>15</v>
      </c>
      <c r="B10" s="17" t="str">
        <f>IFERROR(AVERAGEIF('إدخال الدرجات'!C3:C32,"&gt;0"),"")</f>
        <v/>
      </c>
      <c r="C10" s="18" t="str">
        <f>IFERROR(COUNTIF('إدخال الدرجات'!C3:C32,"&gt;=50")/COUNTIF('إدخال الدرجات'!C3:C32,"&gt;=0"),"")</f>
        <v/>
      </c>
    </row>
    <row r="11">
      <c r="A11" s="16" t="s">
        <v>16</v>
      </c>
      <c r="B11" s="17" t="str">
        <f>IFERROR(AVERAGEIF('إدخال الدرجات'!D3:D32,"&gt;0"),"")</f>
        <v/>
      </c>
      <c r="C11" s="18" t="str">
        <f>IFERROR(COUNTIF('إدخال الدرجات'!D3:D32,"&gt;=50")/COUNTIF('إدخال الدرجات'!D3:D32,"&gt;=0"),"")</f>
        <v/>
      </c>
    </row>
    <row r="12">
      <c r="A12" s="16" t="s">
        <v>17</v>
      </c>
      <c r="B12" s="17" t="str">
        <f>IFERROR(AVERAGEIF('إدخال الدرجات'!E3:E32,"&gt;0"),"")</f>
        <v/>
      </c>
      <c r="C12" s="18" t="str">
        <f>IFERROR(COUNTIF('إدخال الدرجات'!E3:E32,"&gt;=50")/COUNTIF('إدخال الدرجات'!E3:E32,"&gt;=0"),"")</f>
        <v/>
      </c>
    </row>
    <row r="13">
      <c r="A13" s="16" t="s">
        <v>19</v>
      </c>
      <c r="B13" s="17" t="str">
        <f>IFERROR(AVERAGEIF('إدخال الدرجات'!F3:F32,"&gt;0"),"")</f>
        <v/>
      </c>
      <c r="C13" s="18" t="str">
        <f>IFERROR(COUNTIF('إدخال الدرجات'!F3:F32,"&gt;=50")/COUNTIF('إدخال الدرجات'!F3:F32,"&gt;=0"),"")</f>
        <v/>
      </c>
    </row>
    <row r="14">
      <c r="A14" s="16" t="s">
        <v>20</v>
      </c>
      <c r="B14" s="17" t="str">
        <f>IFERROR(AVERAGEIF('إدخال الدرجات'!G3:G32,"&gt;0"),"")</f>
        <v/>
      </c>
      <c r="C14" s="18" t="str">
        <f>IFERROR(COUNTIF('إدخال الدرجات'!G3:G32,"&gt;=50")/COUNTIF('إدخال الدرجات'!G3:G32,"&gt;=0"),"")</f>
        <v/>
      </c>
    </row>
    <row r="15">
      <c r="A15" s="16" t="s">
        <v>21</v>
      </c>
      <c r="B15" s="17" t="str">
        <f>IFERROR(AVERAGEIF('إدخال الدرجات'!H3:H32,"&gt;0"),"")</f>
        <v/>
      </c>
      <c r="C15" s="18" t="str">
        <f>IFERROR(COUNTIF('إدخال الدرجات'!H3:H32,"&gt;=50")/COUNTIF('إدخال الدرجات'!H3:H32,"&gt;=0"),"")</f>
        <v/>
      </c>
    </row>
    <row r="21">
      <c r="A21" s="15" t="str">
        <f t="array" ref="A21">IFERROR(IF(LARGE('إدخال الدرجات'!$J$3:$J$32,1)=0,"",INDEX('إدخال الدرجات'!$B$3:$B$32,MATCH(LARGE('إدخال الدرجات'!$J$3:$J$32,1),'إدخال الدرجات'!$J$3:$J$32,0))),"")</f>
        <v/>
      </c>
      <c r="B21" s="15" t="str">
        <f>IFERROR(IF(LARGE('إدخال الدرجات'!$J$3:$J$32,1)=0,"",LARGE('إدخال الدرجات'!$J$3:$J$32,1)),"")</f>
        <v/>
      </c>
      <c r="C21" s="15" t="str">
        <f t="shared" ref="C21:C25" si="1">IF(B21="","",IF(B21&gt;=50,"ناجح","يحتاج متابعة"))</f>
        <v/>
      </c>
    </row>
    <row r="22">
      <c r="A22" s="16" t="str">
        <f t="array" ref="A22">IFERROR(IF(LARGE('إدخال الدرجات'!$J$3:$J$32,2)=0,"",INDEX('إدخال الدرجات'!$B$3:$B$32,MATCH(LARGE('إدخال الدرجات'!$J$3:$J$32,2),'إدخال الدرجات'!$J$3:$J$32,0))),"")</f>
        <v/>
      </c>
      <c r="B22" s="16" t="str">
        <f>IFERROR(IF(LARGE('إدخال الدرجات'!$J$3:$J$32,2)=0,"",LARGE('إدخال الدرجات'!$J$3:$J$32,2)),"")</f>
        <v/>
      </c>
      <c r="C22" s="16" t="str">
        <f t="shared" si="1"/>
        <v/>
      </c>
    </row>
    <row r="23">
      <c r="A23" s="16" t="str">
        <f t="array" ref="A23">IFERROR(IF(LARGE('إدخال الدرجات'!$J$3:$J$32,3)=0,"",INDEX('إدخال الدرجات'!$B$3:$B$32,MATCH(LARGE('إدخال الدرجات'!$J$3:$J$32,3),'إدخال الدرجات'!$J$3:$J$32,0))),"")</f>
        <v/>
      </c>
      <c r="B23" s="16" t="str">
        <f>IFERROR(IF(LARGE('إدخال الدرجات'!$J$3:$J$32,3)=0,"",LARGE('إدخال الدرجات'!$J$3:$J$32,3)),"")</f>
        <v/>
      </c>
      <c r="C23" s="16" t="str">
        <f t="shared" si="1"/>
        <v/>
      </c>
    </row>
    <row r="24">
      <c r="A24" s="16" t="str">
        <f t="array" ref="A24">IFERROR(IF(LARGE('إدخال الدرجات'!$J$3:$J$32,4)=0,"",INDEX('إدخال الدرجات'!$B$3:$B$32,MATCH(LARGE('إدخال الدرجات'!$J$3:$J$32,4),'إدخال الدرجات'!$J$3:$J$32,0))),"")</f>
        <v/>
      </c>
      <c r="B24" s="16" t="str">
        <f>IFERROR(IF(LARGE('إدخال الدرجات'!$J$3:$J$32,4)=0,"",LARGE('إدخال الدرجات'!$J$3:$J$32,4)),"")</f>
        <v/>
      </c>
      <c r="C24" s="16" t="str">
        <f t="shared" si="1"/>
        <v/>
      </c>
    </row>
    <row r="25">
      <c r="A25" s="16" t="str">
        <f t="array" ref="A25">IFERROR(IF(LARGE('إدخال الدرجات'!$J$3:$J$32,5)=0,"",INDEX('إدخال الدرجات'!$B$3:$B$32,MATCH(LARGE('إدخال الدرجات'!$J$3:$J$32,5),'إدخال الدرجات'!$J$3:$J$32,0))),"")</f>
        <v/>
      </c>
      <c r="B25" s="16" t="str">
        <f>IFERROR(IF(LARGE('إدخال الدرجات'!$J$3:$J$32,5)=0,"",LARGE('إدخال الدرجات'!$J$3:$J$32,5)),"")</f>
        <v/>
      </c>
      <c r="C25" s="16" t="str">
        <f t="shared" si="1"/>
        <v/>
      </c>
    </row>
    <row r="26">
      <c r="A26" s="16"/>
      <c r="B26" s="16"/>
      <c r="C26" s="16"/>
    </row>
  </sheetData>
  <mergeCells count="1">
    <mergeCell ref="A1:N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2.88"/>
    <col customWidth="1" min="2" max="2" width="7.88"/>
    <col customWidth="1" min="3" max="8" width="6.63"/>
    <col customWidth="1" min="9" max="9" width="6.0"/>
    <col customWidth="1" min="10" max="10" width="7.63"/>
    <col customWidth="1" min="11" max="11" width="5.25"/>
    <col customWidth="1" min="12" max="13" width="6.0"/>
    <col customWidth="1" min="14" max="14" width="7.13"/>
  </cols>
  <sheetData>
    <row r="1">
      <c r="A1" s="2" t="s">
        <v>2</v>
      </c>
    </row>
    <row r="2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18</v>
      </c>
      <c r="M2" s="4" t="s">
        <v>25</v>
      </c>
      <c r="N2" s="4" t="s">
        <v>26</v>
      </c>
    </row>
    <row r="3">
      <c r="A3" s="5">
        <v>1.0</v>
      </c>
      <c r="B3" s="5" t="s">
        <v>27</v>
      </c>
      <c r="C3" s="6" t="s">
        <v>32</v>
      </c>
      <c r="D3" s="6" t="s">
        <v>32</v>
      </c>
      <c r="E3" s="6" t="s">
        <v>32</v>
      </c>
      <c r="F3" s="6" t="s">
        <v>32</v>
      </c>
      <c r="G3" s="6" t="s">
        <v>32</v>
      </c>
      <c r="H3" s="6" t="s">
        <v>32</v>
      </c>
      <c r="I3" s="7">
        <f t="shared" ref="I3:I32" si="1">IF(COUNTA(C3:H3)=0,"",SUM(C3:H3))</f>
        <v>0</v>
      </c>
      <c r="J3" s="8">
        <f t="shared" ref="J3:J32" si="2">IF(COUNTA(C3:H3)=0,"",I3/6)</f>
        <v>0</v>
      </c>
      <c r="K3" s="7" t="str">
        <f>IF(COUNTA(C3:H3)=0,"",IF(J3&gt;='الإعدادات'!$B$2,"ناجح","يحتاج متابعة"))</f>
        <v>يحتاج متابعة</v>
      </c>
      <c r="L3" s="7">
        <f t="shared" ref="L3:L32" si="3">IF(COUNTA(C3:H3)=0,"",RANK(J3,$J$3:$J$32,0))</f>
        <v>1</v>
      </c>
      <c r="M3" s="10" t="s">
        <v>32</v>
      </c>
      <c r="N3" s="10" t="s">
        <v>32</v>
      </c>
    </row>
    <row r="4">
      <c r="A4" s="5">
        <v>2.0</v>
      </c>
      <c r="B4" s="5" t="s">
        <v>33</v>
      </c>
      <c r="C4" s="6" t="s">
        <v>32</v>
      </c>
      <c r="D4" s="6" t="s">
        <v>32</v>
      </c>
      <c r="E4" s="6" t="s">
        <v>32</v>
      </c>
      <c r="F4" s="6" t="s">
        <v>32</v>
      </c>
      <c r="G4" s="6" t="s">
        <v>32</v>
      </c>
      <c r="H4" s="6" t="s">
        <v>32</v>
      </c>
      <c r="I4" s="7">
        <f t="shared" si="1"/>
        <v>0</v>
      </c>
      <c r="J4" s="8">
        <f t="shared" si="2"/>
        <v>0</v>
      </c>
      <c r="K4" s="7" t="str">
        <f>IF(COUNTA(C4:H4)=0,"",IF(J4&gt;='الإعدادات'!$B$2,"ناجح","يحتاج متابعة"))</f>
        <v>يحتاج متابعة</v>
      </c>
      <c r="L4" s="7">
        <f t="shared" si="3"/>
        <v>1</v>
      </c>
      <c r="M4" s="10" t="s">
        <v>32</v>
      </c>
      <c r="N4" s="10" t="s">
        <v>32</v>
      </c>
    </row>
    <row r="5">
      <c r="A5" s="5">
        <v>3.0</v>
      </c>
      <c r="B5" s="5" t="s">
        <v>34</v>
      </c>
      <c r="C5" s="6" t="s">
        <v>32</v>
      </c>
      <c r="D5" s="6" t="s">
        <v>32</v>
      </c>
      <c r="E5" s="6" t="s">
        <v>32</v>
      </c>
      <c r="F5" s="6" t="s">
        <v>32</v>
      </c>
      <c r="G5" s="6" t="s">
        <v>32</v>
      </c>
      <c r="H5" s="6" t="s">
        <v>32</v>
      </c>
      <c r="I5" s="7">
        <f t="shared" si="1"/>
        <v>0</v>
      </c>
      <c r="J5" s="8">
        <f t="shared" si="2"/>
        <v>0</v>
      </c>
      <c r="K5" s="7" t="str">
        <f>IF(COUNTA(C5:H5)=0,"",IF(J5&gt;='الإعدادات'!$B$2,"ناجح","يحتاج متابعة"))</f>
        <v>يحتاج متابعة</v>
      </c>
      <c r="L5" s="7">
        <f t="shared" si="3"/>
        <v>1</v>
      </c>
      <c r="M5" s="10" t="s">
        <v>32</v>
      </c>
      <c r="N5" s="10" t="s">
        <v>32</v>
      </c>
    </row>
    <row r="6">
      <c r="A6" s="5">
        <v>4.0</v>
      </c>
      <c r="B6" s="5" t="s">
        <v>35</v>
      </c>
      <c r="C6" s="6" t="s">
        <v>32</v>
      </c>
      <c r="D6" s="6" t="s">
        <v>32</v>
      </c>
      <c r="E6" s="6" t="s">
        <v>32</v>
      </c>
      <c r="F6" s="6" t="s">
        <v>32</v>
      </c>
      <c r="G6" s="6" t="s">
        <v>32</v>
      </c>
      <c r="H6" s="6" t="s">
        <v>32</v>
      </c>
      <c r="I6" s="7">
        <f t="shared" si="1"/>
        <v>0</v>
      </c>
      <c r="J6" s="8">
        <f t="shared" si="2"/>
        <v>0</v>
      </c>
      <c r="K6" s="7" t="str">
        <f>IF(COUNTA(C6:H6)=0,"",IF(J6&gt;='الإعدادات'!$B$2,"ناجح","يحتاج متابعة"))</f>
        <v>يحتاج متابعة</v>
      </c>
      <c r="L6" s="7">
        <f t="shared" si="3"/>
        <v>1</v>
      </c>
      <c r="M6" s="10" t="s">
        <v>32</v>
      </c>
      <c r="N6" s="10" t="s">
        <v>32</v>
      </c>
    </row>
    <row r="7">
      <c r="A7" s="5">
        <v>5.0</v>
      </c>
      <c r="B7" s="5" t="s">
        <v>36</v>
      </c>
      <c r="C7" s="6" t="s">
        <v>32</v>
      </c>
      <c r="D7" s="6" t="s">
        <v>32</v>
      </c>
      <c r="E7" s="6" t="s">
        <v>32</v>
      </c>
      <c r="F7" s="6" t="s">
        <v>32</v>
      </c>
      <c r="G7" s="6" t="s">
        <v>32</v>
      </c>
      <c r="H7" s="6" t="s">
        <v>32</v>
      </c>
      <c r="I7" s="7">
        <f t="shared" si="1"/>
        <v>0</v>
      </c>
      <c r="J7" s="8">
        <f t="shared" si="2"/>
        <v>0</v>
      </c>
      <c r="K7" s="7" t="str">
        <f>IF(COUNTA(C7:H7)=0,"",IF(J7&gt;='الإعدادات'!$B$2,"ناجح","يحتاج متابعة"))</f>
        <v>يحتاج متابعة</v>
      </c>
      <c r="L7" s="7">
        <f t="shared" si="3"/>
        <v>1</v>
      </c>
      <c r="M7" s="10" t="s">
        <v>32</v>
      </c>
      <c r="N7" s="10" t="s">
        <v>32</v>
      </c>
    </row>
    <row r="8">
      <c r="A8" s="5">
        <v>6.0</v>
      </c>
      <c r="B8" s="5" t="s">
        <v>37</v>
      </c>
      <c r="C8" s="6" t="s">
        <v>32</v>
      </c>
      <c r="D8" s="6" t="s">
        <v>32</v>
      </c>
      <c r="E8" s="6" t="s">
        <v>32</v>
      </c>
      <c r="F8" s="6" t="s">
        <v>32</v>
      </c>
      <c r="G8" s="6" t="s">
        <v>32</v>
      </c>
      <c r="H8" s="6" t="s">
        <v>32</v>
      </c>
      <c r="I8" s="7">
        <f t="shared" si="1"/>
        <v>0</v>
      </c>
      <c r="J8" s="8">
        <f t="shared" si="2"/>
        <v>0</v>
      </c>
      <c r="K8" s="7" t="str">
        <f>IF(COUNTA(C8:H8)=0,"",IF(J8&gt;='الإعدادات'!$B$2,"ناجح","يحتاج متابعة"))</f>
        <v>يحتاج متابعة</v>
      </c>
      <c r="L8" s="7">
        <f t="shared" si="3"/>
        <v>1</v>
      </c>
      <c r="M8" s="10" t="s">
        <v>32</v>
      </c>
      <c r="N8" s="10" t="s">
        <v>32</v>
      </c>
    </row>
    <row r="9">
      <c r="A9" s="5">
        <v>7.0</v>
      </c>
      <c r="B9" s="5" t="s">
        <v>38</v>
      </c>
      <c r="C9" s="6" t="s">
        <v>32</v>
      </c>
      <c r="D9" s="6" t="s">
        <v>32</v>
      </c>
      <c r="E9" s="6" t="s">
        <v>32</v>
      </c>
      <c r="F9" s="6" t="s">
        <v>32</v>
      </c>
      <c r="G9" s="6" t="s">
        <v>32</v>
      </c>
      <c r="H9" s="6" t="s">
        <v>32</v>
      </c>
      <c r="I9" s="7">
        <f t="shared" si="1"/>
        <v>0</v>
      </c>
      <c r="J9" s="8">
        <f t="shared" si="2"/>
        <v>0</v>
      </c>
      <c r="K9" s="7" t="str">
        <f>IF(COUNTA(C9:H9)=0,"",IF(J9&gt;='الإعدادات'!$B$2,"ناجح","يحتاج متابعة"))</f>
        <v>يحتاج متابعة</v>
      </c>
      <c r="L9" s="7">
        <f t="shared" si="3"/>
        <v>1</v>
      </c>
      <c r="M9" s="10" t="s">
        <v>32</v>
      </c>
      <c r="N9" s="10" t="s">
        <v>32</v>
      </c>
    </row>
    <row r="10">
      <c r="A10" s="5">
        <v>8.0</v>
      </c>
      <c r="B10" s="5" t="s">
        <v>39</v>
      </c>
      <c r="C10" s="6" t="s">
        <v>32</v>
      </c>
      <c r="D10" s="6" t="s">
        <v>32</v>
      </c>
      <c r="E10" s="6" t="s">
        <v>32</v>
      </c>
      <c r="F10" s="6" t="s">
        <v>32</v>
      </c>
      <c r="G10" s="6" t="s">
        <v>32</v>
      </c>
      <c r="H10" s="6" t="s">
        <v>32</v>
      </c>
      <c r="I10" s="7">
        <f t="shared" si="1"/>
        <v>0</v>
      </c>
      <c r="J10" s="8">
        <f t="shared" si="2"/>
        <v>0</v>
      </c>
      <c r="K10" s="7" t="str">
        <f>IF(COUNTA(C10:H10)=0,"",IF(J10&gt;='الإعدادات'!$B$2,"ناجح","يحتاج متابعة"))</f>
        <v>يحتاج متابعة</v>
      </c>
      <c r="L10" s="7">
        <f t="shared" si="3"/>
        <v>1</v>
      </c>
      <c r="M10" s="10" t="s">
        <v>32</v>
      </c>
      <c r="N10" s="10" t="s">
        <v>32</v>
      </c>
    </row>
    <row r="11">
      <c r="A11" s="5">
        <v>9.0</v>
      </c>
      <c r="B11" s="5" t="s">
        <v>40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7">
        <f t="shared" si="1"/>
        <v>0</v>
      </c>
      <c r="J11" s="8">
        <f t="shared" si="2"/>
        <v>0</v>
      </c>
      <c r="K11" s="7" t="str">
        <f>IF(COUNTA(C11:H11)=0,"",IF(J11&gt;='الإعدادات'!$B$2,"ناجح","يحتاج متابعة"))</f>
        <v>يحتاج متابعة</v>
      </c>
      <c r="L11" s="7">
        <f t="shared" si="3"/>
        <v>1</v>
      </c>
      <c r="M11" s="10" t="s">
        <v>32</v>
      </c>
      <c r="N11" s="10" t="s">
        <v>32</v>
      </c>
    </row>
    <row r="12">
      <c r="A12" s="5">
        <v>10.0</v>
      </c>
      <c r="B12" s="5" t="s">
        <v>41</v>
      </c>
      <c r="C12" s="6" t="s">
        <v>32</v>
      </c>
      <c r="D12" s="6" t="s">
        <v>32</v>
      </c>
      <c r="E12" s="6" t="s">
        <v>32</v>
      </c>
      <c r="F12" s="6" t="s">
        <v>32</v>
      </c>
      <c r="G12" s="6" t="s">
        <v>32</v>
      </c>
      <c r="H12" s="6" t="s">
        <v>32</v>
      </c>
      <c r="I12" s="7">
        <f t="shared" si="1"/>
        <v>0</v>
      </c>
      <c r="J12" s="8">
        <f t="shared" si="2"/>
        <v>0</v>
      </c>
      <c r="K12" s="7" t="str">
        <f>IF(COUNTA(C12:H12)=0,"",IF(J12&gt;='الإعدادات'!$B$2,"ناجح","يحتاج متابعة"))</f>
        <v>يحتاج متابعة</v>
      </c>
      <c r="L12" s="7">
        <f t="shared" si="3"/>
        <v>1</v>
      </c>
      <c r="M12" s="10" t="s">
        <v>32</v>
      </c>
      <c r="N12" s="10" t="s">
        <v>32</v>
      </c>
    </row>
    <row r="13">
      <c r="A13" s="5">
        <v>11.0</v>
      </c>
      <c r="B13" s="5" t="s">
        <v>42</v>
      </c>
      <c r="C13" s="6" t="s">
        <v>32</v>
      </c>
      <c r="D13" s="6" t="s">
        <v>32</v>
      </c>
      <c r="E13" s="6" t="s">
        <v>32</v>
      </c>
      <c r="F13" s="6" t="s">
        <v>32</v>
      </c>
      <c r="G13" s="6" t="s">
        <v>32</v>
      </c>
      <c r="H13" s="6" t="s">
        <v>32</v>
      </c>
      <c r="I13" s="7">
        <f t="shared" si="1"/>
        <v>0</v>
      </c>
      <c r="J13" s="8">
        <f t="shared" si="2"/>
        <v>0</v>
      </c>
      <c r="K13" s="7" t="str">
        <f>IF(COUNTA(C13:H13)=0,"",IF(J13&gt;='الإعدادات'!$B$2,"ناجح","يحتاج متابعة"))</f>
        <v>يحتاج متابعة</v>
      </c>
      <c r="L13" s="7">
        <f t="shared" si="3"/>
        <v>1</v>
      </c>
      <c r="M13" s="10" t="s">
        <v>32</v>
      </c>
      <c r="N13" s="10" t="s">
        <v>32</v>
      </c>
    </row>
    <row r="14">
      <c r="A14" s="5">
        <v>12.0</v>
      </c>
      <c r="B14" s="5" t="s">
        <v>43</v>
      </c>
      <c r="C14" s="6" t="s">
        <v>32</v>
      </c>
      <c r="D14" s="6" t="s">
        <v>32</v>
      </c>
      <c r="E14" s="6" t="s">
        <v>32</v>
      </c>
      <c r="F14" s="6" t="s">
        <v>32</v>
      </c>
      <c r="G14" s="6" t="s">
        <v>32</v>
      </c>
      <c r="H14" s="6" t="s">
        <v>32</v>
      </c>
      <c r="I14" s="7">
        <f t="shared" si="1"/>
        <v>0</v>
      </c>
      <c r="J14" s="8">
        <f t="shared" si="2"/>
        <v>0</v>
      </c>
      <c r="K14" s="7" t="str">
        <f>IF(COUNTA(C14:H14)=0,"",IF(J14&gt;='الإعدادات'!$B$2,"ناجح","يحتاج متابعة"))</f>
        <v>يحتاج متابعة</v>
      </c>
      <c r="L14" s="7">
        <f t="shared" si="3"/>
        <v>1</v>
      </c>
      <c r="M14" s="10" t="s">
        <v>32</v>
      </c>
      <c r="N14" s="10" t="s">
        <v>32</v>
      </c>
    </row>
    <row r="15">
      <c r="A15" s="5">
        <v>13.0</v>
      </c>
      <c r="B15" s="5" t="s">
        <v>44</v>
      </c>
      <c r="C15" s="6" t="s">
        <v>32</v>
      </c>
      <c r="D15" s="6" t="s">
        <v>32</v>
      </c>
      <c r="E15" s="6" t="s">
        <v>32</v>
      </c>
      <c r="F15" s="6" t="s">
        <v>32</v>
      </c>
      <c r="G15" s="6" t="s">
        <v>32</v>
      </c>
      <c r="H15" s="6" t="s">
        <v>32</v>
      </c>
      <c r="I15" s="7">
        <f t="shared" si="1"/>
        <v>0</v>
      </c>
      <c r="J15" s="8">
        <f t="shared" si="2"/>
        <v>0</v>
      </c>
      <c r="K15" s="7" t="str">
        <f>IF(COUNTA(C15:H15)=0,"",IF(J15&gt;='الإعدادات'!$B$2,"ناجح","يحتاج متابعة"))</f>
        <v>يحتاج متابعة</v>
      </c>
      <c r="L15" s="7">
        <f t="shared" si="3"/>
        <v>1</v>
      </c>
      <c r="M15" s="10" t="s">
        <v>32</v>
      </c>
      <c r="N15" s="10" t="s">
        <v>32</v>
      </c>
    </row>
    <row r="16">
      <c r="A16" s="5">
        <v>14.0</v>
      </c>
      <c r="B16" s="5" t="s">
        <v>45</v>
      </c>
      <c r="C16" s="6" t="s">
        <v>32</v>
      </c>
      <c r="D16" s="6" t="s">
        <v>32</v>
      </c>
      <c r="E16" s="6" t="s">
        <v>32</v>
      </c>
      <c r="F16" s="6" t="s">
        <v>32</v>
      </c>
      <c r="G16" s="6" t="s">
        <v>32</v>
      </c>
      <c r="H16" s="6" t="s">
        <v>32</v>
      </c>
      <c r="I16" s="7">
        <f t="shared" si="1"/>
        <v>0</v>
      </c>
      <c r="J16" s="8">
        <f t="shared" si="2"/>
        <v>0</v>
      </c>
      <c r="K16" s="7" t="str">
        <f>IF(COUNTA(C16:H16)=0,"",IF(J16&gt;='الإعدادات'!$B$2,"ناجح","يحتاج متابعة"))</f>
        <v>يحتاج متابعة</v>
      </c>
      <c r="L16" s="7">
        <f t="shared" si="3"/>
        <v>1</v>
      </c>
      <c r="M16" s="10" t="s">
        <v>32</v>
      </c>
      <c r="N16" s="10" t="s">
        <v>32</v>
      </c>
    </row>
    <row r="17">
      <c r="A17" s="5">
        <v>15.0</v>
      </c>
      <c r="B17" s="5" t="s">
        <v>46</v>
      </c>
      <c r="C17" s="6" t="s">
        <v>32</v>
      </c>
      <c r="D17" s="6" t="s">
        <v>32</v>
      </c>
      <c r="E17" s="6" t="s">
        <v>32</v>
      </c>
      <c r="F17" s="6" t="s">
        <v>32</v>
      </c>
      <c r="G17" s="6" t="s">
        <v>32</v>
      </c>
      <c r="H17" s="6" t="s">
        <v>32</v>
      </c>
      <c r="I17" s="7">
        <f t="shared" si="1"/>
        <v>0</v>
      </c>
      <c r="J17" s="8">
        <f t="shared" si="2"/>
        <v>0</v>
      </c>
      <c r="K17" s="7" t="str">
        <f>IF(COUNTA(C17:H17)=0,"",IF(J17&gt;='الإعدادات'!$B$2,"ناجح","يحتاج متابعة"))</f>
        <v>يحتاج متابعة</v>
      </c>
      <c r="L17" s="7">
        <f t="shared" si="3"/>
        <v>1</v>
      </c>
      <c r="M17" s="10" t="s">
        <v>32</v>
      </c>
      <c r="N17" s="10" t="s">
        <v>32</v>
      </c>
    </row>
    <row r="18">
      <c r="A18" s="5">
        <v>16.0</v>
      </c>
      <c r="B18" s="5" t="s">
        <v>48</v>
      </c>
      <c r="C18" s="6" t="s">
        <v>32</v>
      </c>
      <c r="D18" s="6" t="s">
        <v>32</v>
      </c>
      <c r="E18" s="6" t="s">
        <v>32</v>
      </c>
      <c r="F18" s="6" t="s">
        <v>32</v>
      </c>
      <c r="G18" s="6" t="s">
        <v>32</v>
      </c>
      <c r="H18" s="6" t="s">
        <v>32</v>
      </c>
      <c r="I18" s="7">
        <f t="shared" si="1"/>
        <v>0</v>
      </c>
      <c r="J18" s="8">
        <f t="shared" si="2"/>
        <v>0</v>
      </c>
      <c r="K18" s="7" t="str">
        <f>IF(COUNTA(C18:H18)=0,"",IF(J18&gt;='الإعدادات'!$B$2,"ناجح","يحتاج متابعة"))</f>
        <v>يحتاج متابعة</v>
      </c>
      <c r="L18" s="7">
        <f t="shared" si="3"/>
        <v>1</v>
      </c>
      <c r="M18" s="10" t="s">
        <v>32</v>
      </c>
      <c r="N18" s="10" t="s">
        <v>32</v>
      </c>
    </row>
    <row r="19">
      <c r="A19" s="5">
        <v>17.0</v>
      </c>
      <c r="B19" s="5" t="s">
        <v>54</v>
      </c>
      <c r="C19" s="6" t="s">
        <v>32</v>
      </c>
      <c r="D19" s="6" t="s">
        <v>32</v>
      </c>
      <c r="E19" s="6" t="s">
        <v>32</v>
      </c>
      <c r="F19" s="6" t="s">
        <v>32</v>
      </c>
      <c r="G19" s="6" t="s">
        <v>32</v>
      </c>
      <c r="H19" s="6" t="s">
        <v>32</v>
      </c>
      <c r="I19" s="7">
        <f t="shared" si="1"/>
        <v>0</v>
      </c>
      <c r="J19" s="8">
        <f t="shared" si="2"/>
        <v>0</v>
      </c>
      <c r="K19" s="7" t="str">
        <f>IF(COUNTA(C19:H19)=0,"",IF(J19&gt;='الإعدادات'!$B$2,"ناجح","يحتاج متابعة"))</f>
        <v>يحتاج متابعة</v>
      </c>
      <c r="L19" s="7">
        <f t="shared" si="3"/>
        <v>1</v>
      </c>
      <c r="M19" s="10" t="s">
        <v>32</v>
      </c>
      <c r="N19" s="10" t="s">
        <v>32</v>
      </c>
    </row>
    <row r="20">
      <c r="A20" s="5">
        <v>18.0</v>
      </c>
      <c r="B20" s="5" t="s">
        <v>55</v>
      </c>
      <c r="C20" s="6" t="s">
        <v>32</v>
      </c>
      <c r="D20" s="6" t="s">
        <v>32</v>
      </c>
      <c r="E20" s="6" t="s">
        <v>32</v>
      </c>
      <c r="F20" s="6" t="s">
        <v>32</v>
      </c>
      <c r="G20" s="6" t="s">
        <v>32</v>
      </c>
      <c r="H20" s="6" t="s">
        <v>32</v>
      </c>
      <c r="I20" s="7">
        <f t="shared" si="1"/>
        <v>0</v>
      </c>
      <c r="J20" s="8">
        <f t="shared" si="2"/>
        <v>0</v>
      </c>
      <c r="K20" s="7" t="str">
        <f>IF(COUNTA(C20:H20)=0,"",IF(J20&gt;='الإعدادات'!$B$2,"ناجح","يحتاج متابعة"))</f>
        <v>يحتاج متابعة</v>
      </c>
      <c r="L20" s="7">
        <f t="shared" si="3"/>
        <v>1</v>
      </c>
      <c r="M20" s="10" t="s">
        <v>32</v>
      </c>
      <c r="N20" s="10" t="s">
        <v>32</v>
      </c>
    </row>
    <row r="21">
      <c r="A21" s="5">
        <v>19.0</v>
      </c>
      <c r="B21" s="5" t="s">
        <v>56</v>
      </c>
      <c r="C21" s="6" t="s">
        <v>32</v>
      </c>
      <c r="D21" s="6" t="s">
        <v>32</v>
      </c>
      <c r="E21" s="6" t="s">
        <v>32</v>
      </c>
      <c r="F21" s="6" t="s">
        <v>32</v>
      </c>
      <c r="G21" s="6" t="s">
        <v>32</v>
      </c>
      <c r="H21" s="6" t="s">
        <v>32</v>
      </c>
      <c r="I21" s="7">
        <f t="shared" si="1"/>
        <v>0</v>
      </c>
      <c r="J21" s="8">
        <f t="shared" si="2"/>
        <v>0</v>
      </c>
      <c r="K21" s="7" t="str">
        <f>IF(COUNTA(C21:H21)=0,"",IF(J21&gt;='الإعدادات'!$B$2,"ناجح","يحتاج متابعة"))</f>
        <v>يحتاج متابعة</v>
      </c>
      <c r="L21" s="7">
        <f t="shared" si="3"/>
        <v>1</v>
      </c>
      <c r="M21" s="10" t="s">
        <v>32</v>
      </c>
      <c r="N21" s="10" t="s">
        <v>32</v>
      </c>
    </row>
    <row r="22">
      <c r="A22" s="5">
        <v>20.0</v>
      </c>
      <c r="B22" s="5" t="s">
        <v>57</v>
      </c>
      <c r="C22" s="6" t="s">
        <v>32</v>
      </c>
      <c r="D22" s="6" t="s">
        <v>32</v>
      </c>
      <c r="E22" s="6" t="s">
        <v>32</v>
      </c>
      <c r="F22" s="6" t="s">
        <v>32</v>
      </c>
      <c r="G22" s="6" t="s">
        <v>32</v>
      </c>
      <c r="H22" s="6" t="s">
        <v>32</v>
      </c>
      <c r="I22" s="7">
        <f t="shared" si="1"/>
        <v>0</v>
      </c>
      <c r="J22" s="8">
        <f t="shared" si="2"/>
        <v>0</v>
      </c>
      <c r="K22" s="7" t="str">
        <f>IF(COUNTA(C22:H22)=0,"",IF(J22&gt;='الإعدادات'!$B$2,"ناجح","يحتاج متابعة"))</f>
        <v>يحتاج متابعة</v>
      </c>
      <c r="L22" s="7">
        <f t="shared" si="3"/>
        <v>1</v>
      </c>
      <c r="M22" s="10" t="s">
        <v>32</v>
      </c>
      <c r="N22" s="10" t="s">
        <v>32</v>
      </c>
    </row>
    <row r="23">
      <c r="A23" s="5">
        <v>21.0</v>
      </c>
      <c r="B23" s="5" t="s">
        <v>59</v>
      </c>
      <c r="C23" s="6" t="s">
        <v>32</v>
      </c>
      <c r="D23" s="6" t="s">
        <v>32</v>
      </c>
      <c r="E23" s="6" t="s">
        <v>32</v>
      </c>
      <c r="F23" s="6" t="s">
        <v>32</v>
      </c>
      <c r="G23" s="6" t="s">
        <v>32</v>
      </c>
      <c r="H23" s="6" t="s">
        <v>32</v>
      </c>
      <c r="I23" s="7">
        <f t="shared" si="1"/>
        <v>0</v>
      </c>
      <c r="J23" s="8">
        <f t="shared" si="2"/>
        <v>0</v>
      </c>
      <c r="K23" s="7" t="str">
        <f>IF(COUNTA(C23:H23)=0,"",IF(J23&gt;='الإعدادات'!$B$2,"ناجح","يحتاج متابعة"))</f>
        <v>يحتاج متابعة</v>
      </c>
      <c r="L23" s="7">
        <f t="shared" si="3"/>
        <v>1</v>
      </c>
      <c r="M23" s="10" t="s">
        <v>32</v>
      </c>
      <c r="N23" s="10" t="s">
        <v>32</v>
      </c>
    </row>
    <row r="24">
      <c r="A24" s="5">
        <v>22.0</v>
      </c>
      <c r="B24" s="5" t="s">
        <v>63</v>
      </c>
      <c r="C24" s="6" t="s">
        <v>32</v>
      </c>
      <c r="D24" s="6" t="s">
        <v>32</v>
      </c>
      <c r="E24" s="6" t="s">
        <v>32</v>
      </c>
      <c r="F24" s="6" t="s">
        <v>32</v>
      </c>
      <c r="G24" s="6" t="s">
        <v>32</v>
      </c>
      <c r="H24" s="6" t="s">
        <v>32</v>
      </c>
      <c r="I24" s="7">
        <f t="shared" si="1"/>
        <v>0</v>
      </c>
      <c r="J24" s="8">
        <f t="shared" si="2"/>
        <v>0</v>
      </c>
      <c r="K24" s="7" t="str">
        <f>IF(COUNTA(C24:H24)=0,"",IF(J24&gt;='الإعدادات'!$B$2,"ناجح","يحتاج متابعة"))</f>
        <v>يحتاج متابعة</v>
      </c>
      <c r="L24" s="7">
        <f t="shared" si="3"/>
        <v>1</v>
      </c>
      <c r="M24" s="10" t="s">
        <v>32</v>
      </c>
      <c r="N24" s="10" t="s">
        <v>32</v>
      </c>
    </row>
    <row r="25">
      <c r="A25" s="5">
        <v>23.0</v>
      </c>
      <c r="B25" s="5" t="s">
        <v>64</v>
      </c>
      <c r="C25" s="6" t="s">
        <v>32</v>
      </c>
      <c r="D25" s="6" t="s">
        <v>32</v>
      </c>
      <c r="E25" s="6" t="s">
        <v>32</v>
      </c>
      <c r="F25" s="6" t="s">
        <v>32</v>
      </c>
      <c r="G25" s="6" t="s">
        <v>32</v>
      </c>
      <c r="H25" s="6" t="s">
        <v>32</v>
      </c>
      <c r="I25" s="7">
        <f t="shared" si="1"/>
        <v>0</v>
      </c>
      <c r="J25" s="8">
        <f t="shared" si="2"/>
        <v>0</v>
      </c>
      <c r="K25" s="7" t="str">
        <f>IF(COUNTA(C25:H25)=0,"",IF(J25&gt;='الإعدادات'!$B$2,"ناجح","يحتاج متابعة"))</f>
        <v>يحتاج متابعة</v>
      </c>
      <c r="L25" s="7">
        <f t="shared" si="3"/>
        <v>1</v>
      </c>
      <c r="M25" s="10" t="s">
        <v>32</v>
      </c>
      <c r="N25" s="10" t="s">
        <v>32</v>
      </c>
    </row>
    <row r="26">
      <c r="A26" s="5">
        <v>24.0</v>
      </c>
      <c r="B26" s="5" t="s">
        <v>65</v>
      </c>
      <c r="C26" s="6" t="s">
        <v>32</v>
      </c>
      <c r="D26" s="6" t="s">
        <v>32</v>
      </c>
      <c r="E26" s="6" t="s">
        <v>32</v>
      </c>
      <c r="F26" s="6" t="s">
        <v>32</v>
      </c>
      <c r="G26" s="6" t="s">
        <v>32</v>
      </c>
      <c r="H26" s="6" t="s">
        <v>32</v>
      </c>
      <c r="I26" s="7">
        <f t="shared" si="1"/>
        <v>0</v>
      </c>
      <c r="J26" s="8">
        <f t="shared" si="2"/>
        <v>0</v>
      </c>
      <c r="K26" s="7" t="str">
        <f>IF(COUNTA(C26:H26)=0,"",IF(J26&gt;='الإعدادات'!$B$2,"ناجح","يحتاج متابعة"))</f>
        <v>يحتاج متابعة</v>
      </c>
      <c r="L26" s="7">
        <f t="shared" si="3"/>
        <v>1</v>
      </c>
      <c r="M26" s="10" t="s">
        <v>32</v>
      </c>
      <c r="N26" s="10" t="s">
        <v>32</v>
      </c>
    </row>
    <row r="27">
      <c r="A27" s="5">
        <v>25.0</v>
      </c>
      <c r="B27" s="5" t="s">
        <v>66</v>
      </c>
      <c r="C27" s="6" t="s">
        <v>32</v>
      </c>
      <c r="D27" s="6" t="s">
        <v>32</v>
      </c>
      <c r="E27" s="6" t="s">
        <v>32</v>
      </c>
      <c r="F27" s="6" t="s">
        <v>32</v>
      </c>
      <c r="G27" s="6" t="s">
        <v>32</v>
      </c>
      <c r="H27" s="6" t="s">
        <v>32</v>
      </c>
      <c r="I27" s="7">
        <f t="shared" si="1"/>
        <v>0</v>
      </c>
      <c r="J27" s="8">
        <f t="shared" si="2"/>
        <v>0</v>
      </c>
      <c r="K27" s="7" t="str">
        <f>IF(COUNTA(C27:H27)=0,"",IF(J27&gt;='الإعدادات'!$B$2,"ناجح","يحتاج متابعة"))</f>
        <v>يحتاج متابعة</v>
      </c>
      <c r="L27" s="7">
        <f t="shared" si="3"/>
        <v>1</v>
      </c>
      <c r="M27" s="10" t="s">
        <v>32</v>
      </c>
      <c r="N27" s="10" t="s">
        <v>32</v>
      </c>
    </row>
    <row r="28">
      <c r="A28" s="5">
        <v>26.0</v>
      </c>
      <c r="B28" s="5" t="s">
        <v>67</v>
      </c>
      <c r="C28" s="6" t="s">
        <v>32</v>
      </c>
      <c r="D28" s="6" t="s">
        <v>32</v>
      </c>
      <c r="E28" s="6" t="s">
        <v>32</v>
      </c>
      <c r="F28" s="6" t="s">
        <v>32</v>
      </c>
      <c r="G28" s="6" t="s">
        <v>32</v>
      </c>
      <c r="H28" s="6" t="s">
        <v>32</v>
      </c>
      <c r="I28" s="7">
        <f t="shared" si="1"/>
        <v>0</v>
      </c>
      <c r="J28" s="8">
        <f t="shared" si="2"/>
        <v>0</v>
      </c>
      <c r="K28" s="7" t="str">
        <f>IF(COUNTA(C28:H28)=0,"",IF(J28&gt;='الإعدادات'!$B$2,"ناجح","يحتاج متابعة"))</f>
        <v>يحتاج متابعة</v>
      </c>
      <c r="L28" s="7">
        <f t="shared" si="3"/>
        <v>1</v>
      </c>
      <c r="M28" s="10" t="s">
        <v>32</v>
      </c>
      <c r="N28" s="10" t="s">
        <v>32</v>
      </c>
    </row>
    <row r="29">
      <c r="A29" s="5">
        <v>27.0</v>
      </c>
      <c r="B29" s="5" t="s">
        <v>68</v>
      </c>
      <c r="C29" s="6" t="s">
        <v>32</v>
      </c>
      <c r="D29" s="6" t="s">
        <v>32</v>
      </c>
      <c r="E29" s="6" t="s">
        <v>32</v>
      </c>
      <c r="F29" s="6" t="s">
        <v>32</v>
      </c>
      <c r="G29" s="6" t="s">
        <v>32</v>
      </c>
      <c r="H29" s="6" t="s">
        <v>32</v>
      </c>
      <c r="I29" s="7">
        <f t="shared" si="1"/>
        <v>0</v>
      </c>
      <c r="J29" s="8">
        <f t="shared" si="2"/>
        <v>0</v>
      </c>
      <c r="K29" s="7" t="str">
        <f>IF(COUNTA(C29:H29)=0,"",IF(J29&gt;='الإعدادات'!$B$2,"ناجح","يحتاج متابعة"))</f>
        <v>يحتاج متابعة</v>
      </c>
      <c r="L29" s="7">
        <f t="shared" si="3"/>
        <v>1</v>
      </c>
      <c r="M29" s="10" t="s">
        <v>32</v>
      </c>
      <c r="N29" s="10" t="s">
        <v>32</v>
      </c>
    </row>
    <row r="30">
      <c r="A30" s="5">
        <v>28.0</v>
      </c>
      <c r="B30" s="5" t="s">
        <v>69</v>
      </c>
      <c r="C30" s="6" t="s">
        <v>32</v>
      </c>
      <c r="D30" s="6" t="s">
        <v>32</v>
      </c>
      <c r="E30" s="6" t="s">
        <v>32</v>
      </c>
      <c r="F30" s="6" t="s">
        <v>32</v>
      </c>
      <c r="G30" s="6" t="s">
        <v>32</v>
      </c>
      <c r="H30" s="6" t="s">
        <v>32</v>
      </c>
      <c r="I30" s="7">
        <f t="shared" si="1"/>
        <v>0</v>
      </c>
      <c r="J30" s="8">
        <f t="shared" si="2"/>
        <v>0</v>
      </c>
      <c r="K30" s="7" t="str">
        <f>IF(COUNTA(C30:H30)=0,"",IF(J30&gt;='الإعدادات'!$B$2,"ناجح","يحتاج متابعة"))</f>
        <v>يحتاج متابعة</v>
      </c>
      <c r="L30" s="7">
        <f t="shared" si="3"/>
        <v>1</v>
      </c>
      <c r="M30" s="10" t="s">
        <v>32</v>
      </c>
      <c r="N30" s="10" t="s">
        <v>32</v>
      </c>
    </row>
    <row r="31">
      <c r="A31" s="5">
        <v>29.0</v>
      </c>
      <c r="B31" s="5" t="s">
        <v>70</v>
      </c>
      <c r="C31" s="6" t="s">
        <v>32</v>
      </c>
      <c r="D31" s="6" t="s">
        <v>32</v>
      </c>
      <c r="E31" s="6" t="s">
        <v>32</v>
      </c>
      <c r="F31" s="6" t="s">
        <v>32</v>
      </c>
      <c r="G31" s="6" t="s">
        <v>32</v>
      </c>
      <c r="H31" s="6" t="s">
        <v>32</v>
      </c>
      <c r="I31" s="7">
        <f t="shared" si="1"/>
        <v>0</v>
      </c>
      <c r="J31" s="8">
        <f t="shared" si="2"/>
        <v>0</v>
      </c>
      <c r="K31" s="7" t="str">
        <f>IF(COUNTA(C31:H31)=0,"",IF(J31&gt;='الإعدادات'!$B$2,"ناجح","يحتاج متابعة"))</f>
        <v>يحتاج متابعة</v>
      </c>
      <c r="L31" s="7">
        <f t="shared" si="3"/>
        <v>1</v>
      </c>
      <c r="M31" s="10" t="s">
        <v>32</v>
      </c>
      <c r="N31" s="10" t="s">
        <v>32</v>
      </c>
    </row>
    <row r="32">
      <c r="A32" s="5">
        <v>30.0</v>
      </c>
      <c r="B32" s="5" t="s">
        <v>71</v>
      </c>
      <c r="C32" s="6" t="s">
        <v>32</v>
      </c>
      <c r="D32" s="6" t="s">
        <v>32</v>
      </c>
      <c r="E32" s="6" t="s">
        <v>32</v>
      </c>
      <c r="F32" s="6" t="s">
        <v>32</v>
      </c>
      <c r="G32" s="6" t="s">
        <v>32</v>
      </c>
      <c r="H32" s="6" t="s">
        <v>32</v>
      </c>
      <c r="I32" s="7">
        <f t="shared" si="1"/>
        <v>0</v>
      </c>
      <c r="J32" s="8">
        <f t="shared" si="2"/>
        <v>0</v>
      </c>
      <c r="K32" s="7" t="str">
        <f>IF(COUNTA(C32:H32)=0,"",IF(J32&gt;='الإعدادات'!$B$2,"ناجح","يحتاج متابعة"))</f>
        <v>يحتاج متابعة</v>
      </c>
      <c r="L32" s="7">
        <f t="shared" si="3"/>
        <v>1</v>
      </c>
      <c r="M32" s="10" t="s">
        <v>32</v>
      </c>
      <c r="N32" s="10" t="s">
        <v>32</v>
      </c>
    </row>
  </sheetData>
  <mergeCells count="1">
    <mergeCell ref="A1:N1"/>
  </mergeCells>
  <conditionalFormatting sqref="C3:H32">
    <cfRule type="cellIs" dxfId="0" priority="1" stopIfTrue="1" operator="greaterThanOrEqual">
      <formula>50</formula>
    </cfRule>
  </conditionalFormatting>
  <conditionalFormatting sqref="C3:H32">
    <cfRule type="cellIs" dxfId="1" priority="2" stopIfTrue="1" operator="lessThan">
      <formula>50</formula>
    </cfRule>
  </conditionalFormatting>
  <dataValidations>
    <dataValidation type="decimal" allowBlank="1" showInputMessage="1" showErrorMessage="1" prompt="أدخل درجة بين 0 و100" sqref="C3:H32">
      <formula1>0.0</formula1>
      <formula2>100.0</formula2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7.63"/>
    <col customWidth="1" min="2" max="2" width="7.88"/>
    <col customWidth="1" min="3" max="8" width="6.63"/>
    <col customWidth="1" min="9" max="9" width="6.0"/>
    <col customWidth="1" min="10" max="10" width="7.63"/>
    <col customWidth="1" min="11" max="11" width="5.25"/>
    <col customWidth="1" min="12" max="13" width="8.5"/>
    <col customWidth="1" min="14" max="14" width="12.5"/>
    <col customWidth="1" min="15" max="15" width="4.5"/>
  </cols>
  <sheetData>
    <row r="1">
      <c r="A1" s="2" t="s">
        <v>1</v>
      </c>
    </row>
    <row r="2">
      <c r="A2" s="4" t="s">
        <v>18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28</v>
      </c>
      <c r="M2" s="4" t="s">
        <v>29</v>
      </c>
      <c r="N2" s="4" t="s">
        <v>30</v>
      </c>
      <c r="O2" s="4" t="s">
        <v>31</v>
      </c>
    </row>
    <row r="3">
      <c r="A3" s="3">
        <f>IF('إدخال الدرجات'!$J$3="","",'إدخال الدرجات'!$L$3)</f>
        <v>1</v>
      </c>
      <c r="B3" s="3" t="str">
        <f>'إدخال الدرجات'!B3</f>
        <v>طالب 1</v>
      </c>
      <c r="C3" s="3" t="str">
        <f>'إدخال الدرجات'!C3</f>
        <v/>
      </c>
      <c r="D3" s="3" t="str">
        <f>'إدخال الدرجات'!D3</f>
        <v/>
      </c>
      <c r="E3" s="3" t="str">
        <f>'إدخال الدرجات'!E3</f>
        <v/>
      </c>
      <c r="F3" s="3" t="str">
        <f>'إدخال الدرجات'!F3</f>
        <v/>
      </c>
      <c r="G3" s="3" t="str">
        <f>'إدخال الدرجات'!G3</f>
        <v/>
      </c>
      <c r="H3" s="3" t="str">
        <f>'إدخال الدرجات'!H3</f>
        <v/>
      </c>
      <c r="I3" s="3">
        <f>'إدخال الدرجات'!I3</f>
        <v>0</v>
      </c>
      <c r="J3" s="9">
        <f>'إدخال الدرجات'!J3</f>
        <v>0</v>
      </c>
      <c r="K3" s="3" t="str">
        <f>'إدخال الدرجات'!K3</f>
        <v>يحتاج متابعة</v>
      </c>
      <c r="L3" s="3">
        <f t="shared" ref="L3:L32" si="1">MAX(C3:H3)</f>
        <v>0</v>
      </c>
      <c r="M3" s="3">
        <f t="shared" ref="M3:M32" si="2">MIN(C3:H3)</f>
        <v>0</v>
      </c>
      <c r="N3" s="9">
        <f t="shared" ref="N3:N32" si="3">IF(J3="","",J3-AVERAGE($J$3:$J$32))</f>
        <v>0</v>
      </c>
      <c r="O3" s="3" t="str">
        <f t="shared" ref="O3:O32" si="4">IF(J3="","",IF(J3&gt;=80,"ممتاز — استمر",IF(J3&gt;=50,"جيد — عزز نقاط القوة","خطة دعم مطلوبة")))</f>
        <v>خطة دعم مطلوبة</v>
      </c>
    </row>
    <row r="4">
      <c r="A4" s="3">
        <f>IF('إدخال الدرجات'!$J$4="","",'إدخال الدرجات'!$L$4)</f>
        <v>1</v>
      </c>
      <c r="B4" s="3" t="str">
        <f>'إدخال الدرجات'!B4</f>
        <v>طالب 2</v>
      </c>
      <c r="C4" s="3" t="str">
        <f>'إدخال الدرجات'!C4</f>
        <v/>
      </c>
      <c r="D4" s="3" t="str">
        <f>'إدخال الدرجات'!D4</f>
        <v/>
      </c>
      <c r="E4" s="3" t="str">
        <f>'إدخال الدرجات'!E4</f>
        <v/>
      </c>
      <c r="F4" s="3" t="str">
        <f>'إدخال الدرجات'!F4</f>
        <v/>
      </c>
      <c r="G4" s="3" t="str">
        <f>'إدخال الدرجات'!G4</f>
        <v/>
      </c>
      <c r="H4" s="3" t="str">
        <f>'إدخال الدرجات'!H4</f>
        <v/>
      </c>
      <c r="I4" s="3">
        <f>'إدخال الدرجات'!I4</f>
        <v>0</v>
      </c>
      <c r="J4" s="9">
        <f>'إدخال الدرجات'!J4</f>
        <v>0</v>
      </c>
      <c r="K4" s="3" t="str">
        <f>'إدخال الدرجات'!K4</f>
        <v>يحتاج متابعة</v>
      </c>
      <c r="L4" s="3">
        <f t="shared" si="1"/>
        <v>0</v>
      </c>
      <c r="M4" s="3">
        <f t="shared" si="2"/>
        <v>0</v>
      </c>
      <c r="N4" s="9">
        <f t="shared" si="3"/>
        <v>0</v>
      </c>
      <c r="O4" s="3" t="str">
        <f t="shared" si="4"/>
        <v>خطة دعم مطلوبة</v>
      </c>
    </row>
    <row r="5">
      <c r="A5" s="3">
        <f>IF('إدخال الدرجات'!$J$5="","",'إدخال الدرجات'!$L$5)</f>
        <v>1</v>
      </c>
      <c r="B5" s="3" t="str">
        <f>'إدخال الدرجات'!B5</f>
        <v>طالب 3</v>
      </c>
      <c r="C5" s="3" t="str">
        <f>'إدخال الدرجات'!C5</f>
        <v/>
      </c>
      <c r="D5" s="3" t="str">
        <f>'إدخال الدرجات'!D5</f>
        <v/>
      </c>
      <c r="E5" s="3" t="str">
        <f>'إدخال الدرجات'!E5</f>
        <v/>
      </c>
      <c r="F5" s="3" t="str">
        <f>'إدخال الدرجات'!F5</f>
        <v/>
      </c>
      <c r="G5" s="3" t="str">
        <f>'إدخال الدرجات'!G5</f>
        <v/>
      </c>
      <c r="H5" s="3" t="str">
        <f>'إدخال الدرجات'!H5</f>
        <v/>
      </c>
      <c r="I5" s="3">
        <f>'إدخال الدرجات'!I5</f>
        <v>0</v>
      </c>
      <c r="J5" s="9">
        <f>'إدخال الدرجات'!J5</f>
        <v>0</v>
      </c>
      <c r="K5" s="3" t="str">
        <f>'إدخال الدرجات'!K5</f>
        <v>يحتاج متابعة</v>
      </c>
      <c r="L5" s="3">
        <f t="shared" si="1"/>
        <v>0</v>
      </c>
      <c r="M5" s="3">
        <f t="shared" si="2"/>
        <v>0</v>
      </c>
      <c r="N5" s="9">
        <f t="shared" si="3"/>
        <v>0</v>
      </c>
      <c r="O5" s="3" t="str">
        <f t="shared" si="4"/>
        <v>خطة دعم مطلوبة</v>
      </c>
    </row>
    <row r="6">
      <c r="A6" s="3">
        <f>IF('إدخال الدرجات'!$J$6="","",'إدخال الدرجات'!$L$6)</f>
        <v>1</v>
      </c>
      <c r="B6" s="3" t="str">
        <f>'إدخال الدرجات'!B6</f>
        <v>طالب 4</v>
      </c>
      <c r="C6" s="3" t="str">
        <f>'إدخال الدرجات'!C6</f>
        <v/>
      </c>
      <c r="D6" s="3" t="str">
        <f>'إدخال الدرجات'!D6</f>
        <v/>
      </c>
      <c r="E6" s="3" t="str">
        <f>'إدخال الدرجات'!E6</f>
        <v/>
      </c>
      <c r="F6" s="3" t="str">
        <f>'إدخال الدرجات'!F6</f>
        <v/>
      </c>
      <c r="G6" s="3" t="str">
        <f>'إدخال الدرجات'!G6</f>
        <v/>
      </c>
      <c r="H6" s="3" t="str">
        <f>'إدخال الدرجات'!H6</f>
        <v/>
      </c>
      <c r="I6" s="3">
        <f>'إدخال الدرجات'!I6</f>
        <v>0</v>
      </c>
      <c r="J6" s="9">
        <f>'إدخال الدرجات'!J6</f>
        <v>0</v>
      </c>
      <c r="K6" s="3" t="str">
        <f>'إدخال الدرجات'!K6</f>
        <v>يحتاج متابعة</v>
      </c>
      <c r="L6" s="3">
        <f t="shared" si="1"/>
        <v>0</v>
      </c>
      <c r="M6" s="3">
        <f t="shared" si="2"/>
        <v>0</v>
      </c>
      <c r="N6" s="9">
        <f t="shared" si="3"/>
        <v>0</v>
      </c>
      <c r="O6" s="3" t="str">
        <f t="shared" si="4"/>
        <v>خطة دعم مطلوبة</v>
      </c>
    </row>
    <row r="7">
      <c r="A7" s="3">
        <f>IF('إدخال الدرجات'!$J$7="","",'إدخال الدرجات'!$L$7)</f>
        <v>1</v>
      </c>
      <c r="B7" s="3" t="str">
        <f>'إدخال الدرجات'!B7</f>
        <v>طالب 5</v>
      </c>
      <c r="C7" s="3" t="str">
        <f>'إدخال الدرجات'!C7</f>
        <v/>
      </c>
      <c r="D7" s="3" t="str">
        <f>'إدخال الدرجات'!D7</f>
        <v/>
      </c>
      <c r="E7" s="3" t="str">
        <f>'إدخال الدرجات'!E7</f>
        <v/>
      </c>
      <c r="F7" s="3" t="str">
        <f>'إدخال الدرجات'!F7</f>
        <v/>
      </c>
      <c r="G7" s="3" t="str">
        <f>'إدخال الدرجات'!G7</f>
        <v/>
      </c>
      <c r="H7" s="3" t="str">
        <f>'إدخال الدرجات'!H7</f>
        <v/>
      </c>
      <c r="I7" s="3">
        <f>'إدخال الدرجات'!I7</f>
        <v>0</v>
      </c>
      <c r="J7" s="9">
        <f>'إدخال الدرجات'!J7</f>
        <v>0</v>
      </c>
      <c r="K7" s="3" t="str">
        <f>'إدخال الدرجات'!K7</f>
        <v>يحتاج متابعة</v>
      </c>
      <c r="L7" s="3">
        <f t="shared" si="1"/>
        <v>0</v>
      </c>
      <c r="M7" s="3">
        <f t="shared" si="2"/>
        <v>0</v>
      </c>
      <c r="N7" s="9">
        <f t="shared" si="3"/>
        <v>0</v>
      </c>
      <c r="O7" s="3" t="str">
        <f t="shared" si="4"/>
        <v>خطة دعم مطلوبة</v>
      </c>
    </row>
    <row r="8">
      <c r="A8" s="3">
        <f>IF('إدخال الدرجات'!$J$8="","",'إدخال الدرجات'!$L$8)</f>
        <v>1</v>
      </c>
      <c r="B8" s="3" t="str">
        <f>'إدخال الدرجات'!B8</f>
        <v>طالب 6</v>
      </c>
      <c r="C8" s="3" t="str">
        <f>'إدخال الدرجات'!C8</f>
        <v/>
      </c>
      <c r="D8" s="3" t="str">
        <f>'إدخال الدرجات'!D8</f>
        <v/>
      </c>
      <c r="E8" s="3" t="str">
        <f>'إدخال الدرجات'!E8</f>
        <v/>
      </c>
      <c r="F8" s="3" t="str">
        <f>'إدخال الدرجات'!F8</f>
        <v/>
      </c>
      <c r="G8" s="3" t="str">
        <f>'إدخال الدرجات'!G8</f>
        <v/>
      </c>
      <c r="H8" s="3" t="str">
        <f>'إدخال الدرجات'!H8</f>
        <v/>
      </c>
      <c r="I8" s="3">
        <f>'إدخال الدرجات'!I8</f>
        <v>0</v>
      </c>
      <c r="J8" s="9">
        <f>'إدخال الدرجات'!J8</f>
        <v>0</v>
      </c>
      <c r="K8" s="3" t="str">
        <f>'إدخال الدرجات'!K8</f>
        <v>يحتاج متابعة</v>
      </c>
      <c r="L8" s="3">
        <f t="shared" si="1"/>
        <v>0</v>
      </c>
      <c r="M8" s="3">
        <f t="shared" si="2"/>
        <v>0</v>
      </c>
      <c r="N8" s="9">
        <f t="shared" si="3"/>
        <v>0</v>
      </c>
      <c r="O8" s="3" t="str">
        <f t="shared" si="4"/>
        <v>خطة دعم مطلوبة</v>
      </c>
    </row>
    <row r="9">
      <c r="A9" s="3">
        <f>IF('إدخال الدرجات'!$J$9="","",'إدخال الدرجات'!$L$9)</f>
        <v>1</v>
      </c>
      <c r="B9" s="3" t="str">
        <f>'إدخال الدرجات'!B9</f>
        <v>طالب 7</v>
      </c>
      <c r="C9" s="3" t="str">
        <f>'إدخال الدرجات'!C9</f>
        <v/>
      </c>
      <c r="D9" s="3" t="str">
        <f>'إدخال الدرجات'!D9</f>
        <v/>
      </c>
      <c r="E9" s="3" t="str">
        <f>'إدخال الدرجات'!E9</f>
        <v/>
      </c>
      <c r="F9" s="3" t="str">
        <f>'إدخال الدرجات'!F9</f>
        <v/>
      </c>
      <c r="G9" s="3" t="str">
        <f>'إدخال الدرجات'!G9</f>
        <v/>
      </c>
      <c r="H9" s="3" t="str">
        <f>'إدخال الدرجات'!H9</f>
        <v/>
      </c>
      <c r="I9" s="3">
        <f>'إدخال الدرجات'!I9</f>
        <v>0</v>
      </c>
      <c r="J9" s="9">
        <f>'إدخال الدرجات'!J9</f>
        <v>0</v>
      </c>
      <c r="K9" s="3" t="str">
        <f>'إدخال الدرجات'!K9</f>
        <v>يحتاج متابعة</v>
      </c>
      <c r="L9" s="3">
        <f t="shared" si="1"/>
        <v>0</v>
      </c>
      <c r="M9" s="3">
        <f t="shared" si="2"/>
        <v>0</v>
      </c>
      <c r="N9" s="9">
        <f t="shared" si="3"/>
        <v>0</v>
      </c>
      <c r="O9" s="3" t="str">
        <f t="shared" si="4"/>
        <v>خطة دعم مطلوبة</v>
      </c>
    </row>
    <row r="10">
      <c r="A10" s="3">
        <f>IF('إدخال الدرجات'!$J$10="","",'إدخال الدرجات'!$L$10)</f>
        <v>1</v>
      </c>
      <c r="B10" s="3" t="str">
        <f>'إدخال الدرجات'!B10</f>
        <v>طالب 8</v>
      </c>
      <c r="C10" s="3" t="str">
        <f>'إدخال الدرجات'!C10</f>
        <v/>
      </c>
      <c r="D10" s="3" t="str">
        <f>'إدخال الدرجات'!D10</f>
        <v/>
      </c>
      <c r="E10" s="3" t="str">
        <f>'إدخال الدرجات'!E10</f>
        <v/>
      </c>
      <c r="F10" s="3" t="str">
        <f>'إدخال الدرجات'!F10</f>
        <v/>
      </c>
      <c r="G10" s="3" t="str">
        <f>'إدخال الدرجات'!G10</f>
        <v/>
      </c>
      <c r="H10" s="3" t="str">
        <f>'إدخال الدرجات'!H10</f>
        <v/>
      </c>
      <c r="I10" s="3">
        <f>'إدخال الدرجات'!I10</f>
        <v>0</v>
      </c>
      <c r="J10" s="9">
        <f>'إدخال الدرجات'!J10</f>
        <v>0</v>
      </c>
      <c r="K10" s="3" t="str">
        <f>'إدخال الدرجات'!K10</f>
        <v>يحتاج متابعة</v>
      </c>
      <c r="L10" s="3">
        <f t="shared" si="1"/>
        <v>0</v>
      </c>
      <c r="M10" s="3">
        <f t="shared" si="2"/>
        <v>0</v>
      </c>
      <c r="N10" s="9">
        <f t="shared" si="3"/>
        <v>0</v>
      </c>
      <c r="O10" s="3" t="str">
        <f t="shared" si="4"/>
        <v>خطة دعم مطلوبة</v>
      </c>
    </row>
    <row r="11">
      <c r="A11" s="3">
        <f>IF('إدخال الدرجات'!$J$11="","",'إدخال الدرجات'!$L$11)</f>
        <v>1</v>
      </c>
      <c r="B11" s="3" t="str">
        <f>'إدخال الدرجات'!B11</f>
        <v>طالب 9</v>
      </c>
      <c r="C11" s="3" t="str">
        <f>'إدخال الدرجات'!C11</f>
        <v/>
      </c>
      <c r="D11" s="3" t="str">
        <f>'إدخال الدرجات'!D11</f>
        <v/>
      </c>
      <c r="E11" s="3" t="str">
        <f>'إدخال الدرجات'!E11</f>
        <v/>
      </c>
      <c r="F11" s="3" t="str">
        <f>'إدخال الدرجات'!F11</f>
        <v/>
      </c>
      <c r="G11" s="3" t="str">
        <f>'إدخال الدرجات'!G11</f>
        <v/>
      </c>
      <c r="H11" s="3" t="str">
        <f>'إدخال الدرجات'!H11</f>
        <v/>
      </c>
      <c r="I11" s="3">
        <f>'إدخال الدرجات'!I11</f>
        <v>0</v>
      </c>
      <c r="J11" s="9">
        <f>'إدخال الدرجات'!J11</f>
        <v>0</v>
      </c>
      <c r="K11" s="3" t="str">
        <f>'إدخال الدرجات'!K11</f>
        <v>يحتاج متابعة</v>
      </c>
      <c r="L11" s="3">
        <f t="shared" si="1"/>
        <v>0</v>
      </c>
      <c r="M11" s="3">
        <f t="shared" si="2"/>
        <v>0</v>
      </c>
      <c r="N11" s="9">
        <f t="shared" si="3"/>
        <v>0</v>
      </c>
      <c r="O11" s="3" t="str">
        <f t="shared" si="4"/>
        <v>خطة دعم مطلوبة</v>
      </c>
    </row>
    <row r="12">
      <c r="A12" s="3">
        <f>IF('إدخال الدرجات'!$J$12="","",'إدخال الدرجات'!$L$12)</f>
        <v>1</v>
      </c>
      <c r="B12" s="3" t="str">
        <f>'إدخال الدرجات'!B12</f>
        <v>طالب 10</v>
      </c>
      <c r="C12" s="3" t="str">
        <f>'إدخال الدرجات'!C12</f>
        <v/>
      </c>
      <c r="D12" s="3" t="str">
        <f>'إدخال الدرجات'!D12</f>
        <v/>
      </c>
      <c r="E12" s="3" t="str">
        <f>'إدخال الدرجات'!E12</f>
        <v/>
      </c>
      <c r="F12" s="3" t="str">
        <f>'إدخال الدرجات'!F12</f>
        <v/>
      </c>
      <c r="G12" s="3" t="str">
        <f>'إدخال الدرجات'!G12</f>
        <v/>
      </c>
      <c r="H12" s="3" t="str">
        <f>'إدخال الدرجات'!H12</f>
        <v/>
      </c>
      <c r="I12" s="3">
        <f>'إدخال الدرجات'!I12</f>
        <v>0</v>
      </c>
      <c r="J12" s="9">
        <f>'إدخال الدرجات'!J12</f>
        <v>0</v>
      </c>
      <c r="K12" s="3" t="str">
        <f>'إدخال الدرجات'!K12</f>
        <v>يحتاج متابعة</v>
      </c>
      <c r="L12" s="3">
        <f t="shared" si="1"/>
        <v>0</v>
      </c>
      <c r="M12" s="3">
        <f t="shared" si="2"/>
        <v>0</v>
      </c>
      <c r="N12" s="9">
        <f t="shared" si="3"/>
        <v>0</v>
      </c>
      <c r="O12" s="3" t="str">
        <f t="shared" si="4"/>
        <v>خطة دعم مطلوبة</v>
      </c>
    </row>
    <row r="13">
      <c r="A13" s="3">
        <f>IF('إدخال الدرجات'!$J$13="","",'إدخال الدرجات'!$L$13)</f>
        <v>1</v>
      </c>
      <c r="B13" s="3" t="str">
        <f>'إدخال الدرجات'!B13</f>
        <v>طالب 11</v>
      </c>
      <c r="C13" s="3" t="str">
        <f>'إدخال الدرجات'!C13</f>
        <v/>
      </c>
      <c r="D13" s="3" t="str">
        <f>'إدخال الدرجات'!D13</f>
        <v/>
      </c>
      <c r="E13" s="3" t="str">
        <f>'إدخال الدرجات'!E13</f>
        <v/>
      </c>
      <c r="F13" s="3" t="str">
        <f>'إدخال الدرجات'!F13</f>
        <v/>
      </c>
      <c r="G13" s="3" t="str">
        <f>'إدخال الدرجات'!G13</f>
        <v/>
      </c>
      <c r="H13" s="3" t="str">
        <f>'إدخال الدرجات'!H13</f>
        <v/>
      </c>
      <c r="I13" s="3">
        <f>'إدخال الدرجات'!I13</f>
        <v>0</v>
      </c>
      <c r="J13" s="9">
        <f>'إدخال الدرجات'!J13</f>
        <v>0</v>
      </c>
      <c r="K13" s="3" t="str">
        <f>'إدخال الدرجات'!K13</f>
        <v>يحتاج متابعة</v>
      </c>
      <c r="L13" s="3">
        <f t="shared" si="1"/>
        <v>0</v>
      </c>
      <c r="M13" s="3">
        <f t="shared" si="2"/>
        <v>0</v>
      </c>
      <c r="N13" s="9">
        <f t="shared" si="3"/>
        <v>0</v>
      </c>
      <c r="O13" s="3" t="str">
        <f t="shared" si="4"/>
        <v>خطة دعم مطلوبة</v>
      </c>
    </row>
    <row r="14">
      <c r="A14" s="3">
        <f>IF('إدخال الدرجات'!$J$14="","",'إدخال الدرجات'!$L$14)</f>
        <v>1</v>
      </c>
      <c r="B14" s="3" t="str">
        <f>'إدخال الدرجات'!B14</f>
        <v>طالب 12</v>
      </c>
      <c r="C14" s="3" t="str">
        <f>'إدخال الدرجات'!C14</f>
        <v/>
      </c>
      <c r="D14" s="3" t="str">
        <f>'إدخال الدرجات'!D14</f>
        <v/>
      </c>
      <c r="E14" s="3" t="str">
        <f>'إدخال الدرجات'!E14</f>
        <v/>
      </c>
      <c r="F14" s="3" t="str">
        <f>'إدخال الدرجات'!F14</f>
        <v/>
      </c>
      <c r="G14" s="3" t="str">
        <f>'إدخال الدرجات'!G14</f>
        <v/>
      </c>
      <c r="H14" s="3" t="str">
        <f>'إدخال الدرجات'!H14</f>
        <v/>
      </c>
      <c r="I14" s="3">
        <f>'إدخال الدرجات'!I14</f>
        <v>0</v>
      </c>
      <c r="J14" s="9">
        <f>'إدخال الدرجات'!J14</f>
        <v>0</v>
      </c>
      <c r="K14" s="3" t="str">
        <f>'إدخال الدرجات'!K14</f>
        <v>يحتاج متابعة</v>
      </c>
      <c r="L14" s="3">
        <f t="shared" si="1"/>
        <v>0</v>
      </c>
      <c r="M14" s="3">
        <f t="shared" si="2"/>
        <v>0</v>
      </c>
      <c r="N14" s="9">
        <f t="shared" si="3"/>
        <v>0</v>
      </c>
      <c r="O14" s="3" t="str">
        <f t="shared" si="4"/>
        <v>خطة دعم مطلوبة</v>
      </c>
    </row>
    <row r="15">
      <c r="A15" s="3">
        <f>IF('إدخال الدرجات'!$J$15="","",'إدخال الدرجات'!$L$15)</f>
        <v>1</v>
      </c>
      <c r="B15" s="3" t="str">
        <f>'إدخال الدرجات'!B15</f>
        <v>طالب 13</v>
      </c>
      <c r="C15" s="3" t="str">
        <f>'إدخال الدرجات'!C15</f>
        <v/>
      </c>
      <c r="D15" s="3" t="str">
        <f>'إدخال الدرجات'!D15</f>
        <v/>
      </c>
      <c r="E15" s="3" t="str">
        <f>'إدخال الدرجات'!E15</f>
        <v/>
      </c>
      <c r="F15" s="3" t="str">
        <f>'إدخال الدرجات'!F15</f>
        <v/>
      </c>
      <c r="G15" s="3" t="str">
        <f>'إدخال الدرجات'!G15</f>
        <v/>
      </c>
      <c r="H15" s="3" t="str">
        <f>'إدخال الدرجات'!H15</f>
        <v/>
      </c>
      <c r="I15" s="3">
        <f>'إدخال الدرجات'!I15</f>
        <v>0</v>
      </c>
      <c r="J15" s="9">
        <f>'إدخال الدرجات'!J15</f>
        <v>0</v>
      </c>
      <c r="K15" s="3" t="str">
        <f>'إدخال الدرجات'!K15</f>
        <v>يحتاج متابعة</v>
      </c>
      <c r="L15" s="3">
        <f t="shared" si="1"/>
        <v>0</v>
      </c>
      <c r="M15" s="3">
        <f t="shared" si="2"/>
        <v>0</v>
      </c>
      <c r="N15" s="9">
        <f t="shared" si="3"/>
        <v>0</v>
      </c>
      <c r="O15" s="3" t="str">
        <f t="shared" si="4"/>
        <v>خطة دعم مطلوبة</v>
      </c>
    </row>
    <row r="16">
      <c r="A16" s="3">
        <f>IF('إدخال الدرجات'!$J$16="","",'إدخال الدرجات'!$L$16)</f>
        <v>1</v>
      </c>
      <c r="B16" s="3" t="str">
        <f>'إدخال الدرجات'!B16</f>
        <v>طالب 14</v>
      </c>
      <c r="C16" s="3" t="str">
        <f>'إدخال الدرجات'!C16</f>
        <v/>
      </c>
      <c r="D16" s="3" t="str">
        <f>'إدخال الدرجات'!D16</f>
        <v/>
      </c>
      <c r="E16" s="3" t="str">
        <f>'إدخال الدرجات'!E16</f>
        <v/>
      </c>
      <c r="F16" s="3" t="str">
        <f>'إدخال الدرجات'!F16</f>
        <v/>
      </c>
      <c r="G16" s="3" t="str">
        <f>'إدخال الدرجات'!G16</f>
        <v/>
      </c>
      <c r="H16" s="3" t="str">
        <f>'إدخال الدرجات'!H16</f>
        <v/>
      </c>
      <c r="I16" s="3">
        <f>'إدخال الدرجات'!I16</f>
        <v>0</v>
      </c>
      <c r="J16" s="9">
        <f>'إدخال الدرجات'!J16</f>
        <v>0</v>
      </c>
      <c r="K16" s="3" t="str">
        <f>'إدخال الدرجات'!K16</f>
        <v>يحتاج متابعة</v>
      </c>
      <c r="L16" s="3">
        <f t="shared" si="1"/>
        <v>0</v>
      </c>
      <c r="M16" s="3">
        <f t="shared" si="2"/>
        <v>0</v>
      </c>
      <c r="N16" s="9">
        <f t="shared" si="3"/>
        <v>0</v>
      </c>
      <c r="O16" s="3" t="str">
        <f t="shared" si="4"/>
        <v>خطة دعم مطلوبة</v>
      </c>
    </row>
    <row r="17">
      <c r="A17" s="3">
        <f>IF('إدخال الدرجات'!$J$17="","",'إدخال الدرجات'!$L$17)</f>
        <v>1</v>
      </c>
      <c r="B17" s="3" t="str">
        <f>'إدخال الدرجات'!B17</f>
        <v>طالب 15</v>
      </c>
      <c r="C17" s="3" t="str">
        <f>'إدخال الدرجات'!C17</f>
        <v/>
      </c>
      <c r="D17" s="3" t="str">
        <f>'إدخال الدرجات'!D17</f>
        <v/>
      </c>
      <c r="E17" s="3" t="str">
        <f>'إدخال الدرجات'!E17</f>
        <v/>
      </c>
      <c r="F17" s="3" t="str">
        <f>'إدخال الدرجات'!F17</f>
        <v/>
      </c>
      <c r="G17" s="3" t="str">
        <f>'إدخال الدرجات'!G17</f>
        <v/>
      </c>
      <c r="H17" s="3" t="str">
        <f>'إدخال الدرجات'!H17</f>
        <v/>
      </c>
      <c r="I17" s="3">
        <f>'إدخال الدرجات'!I17</f>
        <v>0</v>
      </c>
      <c r="J17" s="9">
        <f>'إدخال الدرجات'!J17</f>
        <v>0</v>
      </c>
      <c r="K17" s="3" t="str">
        <f>'إدخال الدرجات'!K17</f>
        <v>يحتاج متابعة</v>
      </c>
      <c r="L17" s="3">
        <f t="shared" si="1"/>
        <v>0</v>
      </c>
      <c r="M17" s="3">
        <f t="shared" si="2"/>
        <v>0</v>
      </c>
      <c r="N17" s="9">
        <f t="shared" si="3"/>
        <v>0</v>
      </c>
      <c r="O17" s="3" t="str">
        <f t="shared" si="4"/>
        <v>خطة دعم مطلوبة</v>
      </c>
    </row>
    <row r="18">
      <c r="A18" s="3">
        <f>IF('إدخال الدرجات'!$J$18="","",'إدخال الدرجات'!$L$18)</f>
        <v>1</v>
      </c>
      <c r="B18" s="3" t="str">
        <f>'إدخال الدرجات'!B18</f>
        <v>طالب 16</v>
      </c>
      <c r="C18" s="3" t="str">
        <f>'إدخال الدرجات'!C18</f>
        <v/>
      </c>
      <c r="D18" s="3" t="str">
        <f>'إدخال الدرجات'!D18</f>
        <v/>
      </c>
      <c r="E18" s="3" t="str">
        <f>'إدخال الدرجات'!E18</f>
        <v/>
      </c>
      <c r="F18" s="3" t="str">
        <f>'إدخال الدرجات'!F18</f>
        <v/>
      </c>
      <c r="G18" s="3" t="str">
        <f>'إدخال الدرجات'!G18</f>
        <v/>
      </c>
      <c r="H18" s="3" t="str">
        <f>'إدخال الدرجات'!H18</f>
        <v/>
      </c>
      <c r="I18" s="3">
        <f>'إدخال الدرجات'!I18</f>
        <v>0</v>
      </c>
      <c r="J18" s="9">
        <f>'إدخال الدرجات'!J18</f>
        <v>0</v>
      </c>
      <c r="K18" s="3" t="str">
        <f>'إدخال الدرجات'!K18</f>
        <v>يحتاج متابعة</v>
      </c>
      <c r="L18" s="3">
        <f t="shared" si="1"/>
        <v>0</v>
      </c>
      <c r="M18" s="3">
        <f t="shared" si="2"/>
        <v>0</v>
      </c>
      <c r="N18" s="9">
        <f t="shared" si="3"/>
        <v>0</v>
      </c>
      <c r="O18" s="3" t="str">
        <f t="shared" si="4"/>
        <v>خطة دعم مطلوبة</v>
      </c>
    </row>
    <row r="19">
      <c r="A19" s="3">
        <f>IF('إدخال الدرجات'!$J$19="","",'إدخال الدرجات'!$L$19)</f>
        <v>1</v>
      </c>
      <c r="B19" s="3" t="str">
        <f>'إدخال الدرجات'!B19</f>
        <v>طالب 17</v>
      </c>
      <c r="C19" s="3" t="str">
        <f>'إدخال الدرجات'!C19</f>
        <v/>
      </c>
      <c r="D19" s="3" t="str">
        <f>'إدخال الدرجات'!D19</f>
        <v/>
      </c>
      <c r="E19" s="3" t="str">
        <f>'إدخال الدرجات'!E19</f>
        <v/>
      </c>
      <c r="F19" s="3" t="str">
        <f>'إدخال الدرجات'!F19</f>
        <v/>
      </c>
      <c r="G19" s="3" t="str">
        <f>'إدخال الدرجات'!G19</f>
        <v/>
      </c>
      <c r="H19" s="3" t="str">
        <f>'إدخال الدرجات'!H19</f>
        <v/>
      </c>
      <c r="I19" s="3">
        <f>'إدخال الدرجات'!I19</f>
        <v>0</v>
      </c>
      <c r="J19" s="9">
        <f>'إدخال الدرجات'!J19</f>
        <v>0</v>
      </c>
      <c r="K19" s="3" t="str">
        <f>'إدخال الدرجات'!K19</f>
        <v>يحتاج متابعة</v>
      </c>
      <c r="L19" s="3">
        <f t="shared" si="1"/>
        <v>0</v>
      </c>
      <c r="M19" s="3">
        <f t="shared" si="2"/>
        <v>0</v>
      </c>
      <c r="N19" s="9">
        <f t="shared" si="3"/>
        <v>0</v>
      </c>
      <c r="O19" s="3" t="str">
        <f t="shared" si="4"/>
        <v>خطة دعم مطلوبة</v>
      </c>
    </row>
    <row r="20">
      <c r="A20" s="3">
        <f>IF('إدخال الدرجات'!$J$20="","",'إدخال الدرجات'!$L$20)</f>
        <v>1</v>
      </c>
      <c r="B20" s="3" t="str">
        <f>'إدخال الدرجات'!B20</f>
        <v>طالب 18</v>
      </c>
      <c r="C20" s="3" t="str">
        <f>'إدخال الدرجات'!C20</f>
        <v/>
      </c>
      <c r="D20" s="3" t="str">
        <f>'إدخال الدرجات'!D20</f>
        <v/>
      </c>
      <c r="E20" s="3" t="str">
        <f>'إدخال الدرجات'!E20</f>
        <v/>
      </c>
      <c r="F20" s="3" t="str">
        <f>'إدخال الدرجات'!F20</f>
        <v/>
      </c>
      <c r="G20" s="3" t="str">
        <f>'إدخال الدرجات'!G20</f>
        <v/>
      </c>
      <c r="H20" s="3" t="str">
        <f>'إدخال الدرجات'!H20</f>
        <v/>
      </c>
      <c r="I20" s="3">
        <f>'إدخال الدرجات'!I20</f>
        <v>0</v>
      </c>
      <c r="J20" s="9">
        <f>'إدخال الدرجات'!J20</f>
        <v>0</v>
      </c>
      <c r="K20" s="3" t="str">
        <f>'إدخال الدرجات'!K20</f>
        <v>يحتاج متابعة</v>
      </c>
      <c r="L20" s="3">
        <f t="shared" si="1"/>
        <v>0</v>
      </c>
      <c r="M20" s="3">
        <f t="shared" si="2"/>
        <v>0</v>
      </c>
      <c r="N20" s="9">
        <f t="shared" si="3"/>
        <v>0</v>
      </c>
      <c r="O20" s="3" t="str">
        <f t="shared" si="4"/>
        <v>خطة دعم مطلوبة</v>
      </c>
    </row>
    <row r="21">
      <c r="A21" s="3">
        <f>IF('إدخال الدرجات'!$J$21="","",'إدخال الدرجات'!$L$21)</f>
        <v>1</v>
      </c>
      <c r="B21" s="3" t="str">
        <f>'إدخال الدرجات'!B21</f>
        <v>طالب 19</v>
      </c>
      <c r="C21" s="3" t="str">
        <f>'إدخال الدرجات'!C21</f>
        <v/>
      </c>
      <c r="D21" s="3" t="str">
        <f>'إدخال الدرجات'!D21</f>
        <v/>
      </c>
      <c r="E21" s="3" t="str">
        <f>'إدخال الدرجات'!E21</f>
        <v/>
      </c>
      <c r="F21" s="3" t="str">
        <f>'إدخال الدرجات'!F21</f>
        <v/>
      </c>
      <c r="G21" s="3" t="str">
        <f>'إدخال الدرجات'!G21</f>
        <v/>
      </c>
      <c r="H21" s="3" t="str">
        <f>'إدخال الدرجات'!H21</f>
        <v/>
      </c>
      <c r="I21" s="3">
        <f>'إدخال الدرجات'!I21</f>
        <v>0</v>
      </c>
      <c r="J21" s="9">
        <f>'إدخال الدرجات'!J21</f>
        <v>0</v>
      </c>
      <c r="K21" s="3" t="str">
        <f>'إدخال الدرجات'!K21</f>
        <v>يحتاج متابعة</v>
      </c>
      <c r="L21" s="3">
        <f t="shared" si="1"/>
        <v>0</v>
      </c>
      <c r="M21" s="3">
        <f t="shared" si="2"/>
        <v>0</v>
      </c>
      <c r="N21" s="9">
        <f t="shared" si="3"/>
        <v>0</v>
      </c>
      <c r="O21" s="3" t="str">
        <f t="shared" si="4"/>
        <v>خطة دعم مطلوبة</v>
      </c>
    </row>
    <row r="22">
      <c r="A22" s="3">
        <f>IF('إدخال الدرجات'!$J$22="","",'إدخال الدرجات'!$L$22)</f>
        <v>1</v>
      </c>
      <c r="B22" s="3" t="str">
        <f>'إدخال الدرجات'!B22</f>
        <v>طالب 20</v>
      </c>
      <c r="C22" s="3" t="str">
        <f>'إدخال الدرجات'!C22</f>
        <v/>
      </c>
      <c r="D22" s="3" t="str">
        <f>'إدخال الدرجات'!D22</f>
        <v/>
      </c>
      <c r="E22" s="3" t="str">
        <f>'إدخال الدرجات'!E22</f>
        <v/>
      </c>
      <c r="F22" s="3" t="str">
        <f>'إدخال الدرجات'!F22</f>
        <v/>
      </c>
      <c r="G22" s="3" t="str">
        <f>'إدخال الدرجات'!G22</f>
        <v/>
      </c>
      <c r="H22" s="3" t="str">
        <f>'إدخال الدرجات'!H22</f>
        <v/>
      </c>
      <c r="I22" s="3">
        <f>'إدخال الدرجات'!I22</f>
        <v>0</v>
      </c>
      <c r="J22" s="9">
        <f>'إدخال الدرجات'!J22</f>
        <v>0</v>
      </c>
      <c r="K22" s="3" t="str">
        <f>'إدخال الدرجات'!K22</f>
        <v>يحتاج متابعة</v>
      </c>
      <c r="L22" s="3">
        <f t="shared" si="1"/>
        <v>0</v>
      </c>
      <c r="M22" s="3">
        <f t="shared" si="2"/>
        <v>0</v>
      </c>
      <c r="N22" s="9">
        <f t="shared" si="3"/>
        <v>0</v>
      </c>
      <c r="O22" s="3" t="str">
        <f t="shared" si="4"/>
        <v>خطة دعم مطلوبة</v>
      </c>
    </row>
    <row r="23">
      <c r="A23" s="3">
        <f>IF('إدخال الدرجات'!$J$23="","",'إدخال الدرجات'!$L$23)</f>
        <v>1</v>
      </c>
      <c r="B23" s="3" t="str">
        <f>'إدخال الدرجات'!B23</f>
        <v>طالب 21</v>
      </c>
      <c r="C23" s="3" t="str">
        <f>'إدخال الدرجات'!C23</f>
        <v/>
      </c>
      <c r="D23" s="3" t="str">
        <f>'إدخال الدرجات'!D23</f>
        <v/>
      </c>
      <c r="E23" s="3" t="str">
        <f>'إدخال الدرجات'!E23</f>
        <v/>
      </c>
      <c r="F23" s="3" t="str">
        <f>'إدخال الدرجات'!F23</f>
        <v/>
      </c>
      <c r="G23" s="3" t="str">
        <f>'إدخال الدرجات'!G23</f>
        <v/>
      </c>
      <c r="H23" s="3" t="str">
        <f>'إدخال الدرجات'!H23</f>
        <v/>
      </c>
      <c r="I23" s="3">
        <f>'إدخال الدرجات'!I23</f>
        <v>0</v>
      </c>
      <c r="J23" s="9">
        <f>'إدخال الدرجات'!J23</f>
        <v>0</v>
      </c>
      <c r="K23" s="3" t="str">
        <f>'إدخال الدرجات'!K23</f>
        <v>يحتاج متابعة</v>
      </c>
      <c r="L23" s="3">
        <f t="shared" si="1"/>
        <v>0</v>
      </c>
      <c r="M23" s="3">
        <f t="shared" si="2"/>
        <v>0</v>
      </c>
      <c r="N23" s="9">
        <f t="shared" si="3"/>
        <v>0</v>
      </c>
      <c r="O23" s="3" t="str">
        <f t="shared" si="4"/>
        <v>خطة دعم مطلوبة</v>
      </c>
    </row>
    <row r="24">
      <c r="A24" s="3">
        <f>IF('إدخال الدرجات'!$J$24="","",'إدخال الدرجات'!$L$24)</f>
        <v>1</v>
      </c>
      <c r="B24" s="3" t="str">
        <f>'إدخال الدرجات'!B24</f>
        <v>طالب 22</v>
      </c>
      <c r="C24" s="3" t="str">
        <f>'إدخال الدرجات'!C24</f>
        <v/>
      </c>
      <c r="D24" s="3" t="str">
        <f>'إدخال الدرجات'!D24</f>
        <v/>
      </c>
      <c r="E24" s="3" t="str">
        <f>'إدخال الدرجات'!E24</f>
        <v/>
      </c>
      <c r="F24" s="3" t="str">
        <f>'إدخال الدرجات'!F24</f>
        <v/>
      </c>
      <c r="G24" s="3" t="str">
        <f>'إدخال الدرجات'!G24</f>
        <v/>
      </c>
      <c r="H24" s="3" t="str">
        <f>'إدخال الدرجات'!H24</f>
        <v/>
      </c>
      <c r="I24" s="3">
        <f>'إدخال الدرجات'!I24</f>
        <v>0</v>
      </c>
      <c r="J24" s="9">
        <f>'إدخال الدرجات'!J24</f>
        <v>0</v>
      </c>
      <c r="K24" s="3" t="str">
        <f>'إدخال الدرجات'!K24</f>
        <v>يحتاج متابعة</v>
      </c>
      <c r="L24" s="3">
        <f t="shared" si="1"/>
        <v>0</v>
      </c>
      <c r="M24" s="3">
        <f t="shared" si="2"/>
        <v>0</v>
      </c>
      <c r="N24" s="9">
        <f t="shared" si="3"/>
        <v>0</v>
      </c>
      <c r="O24" s="3" t="str">
        <f t="shared" si="4"/>
        <v>خطة دعم مطلوبة</v>
      </c>
    </row>
    <row r="25">
      <c r="A25" s="3">
        <f>IF('إدخال الدرجات'!$J$25="","",'إدخال الدرجات'!$L$25)</f>
        <v>1</v>
      </c>
      <c r="B25" s="3" t="str">
        <f>'إدخال الدرجات'!B25</f>
        <v>طالب 23</v>
      </c>
      <c r="C25" s="3" t="str">
        <f>'إدخال الدرجات'!C25</f>
        <v/>
      </c>
      <c r="D25" s="3" t="str">
        <f>'إدخال الدرجات'!D25</f>
        <v/>
      </c>
      <c r="E25" s="3" t="str">
        <f>'إدخال الدرجات'!E25</f>
        <v/>
      </c>
      <c r="F25" s="3" t="str">
        <f>'إدخال الدرجات'!F25</f>
        <v/>
      </c>
      <c r="G25" s="3" t="str">
        <f>'إدخال الدرجات'!G25</f>
        <v/>
      </c>
      <c r="H25" s="3" t="str">
        <f>'إدخال الدرجات'!H25</f>
        <v/>
      </c>
      <c r="I25" s="3">
        <f>'إدخال الدرجات'!I25</f>
        <v>0</v>
      </c>
      <c r="J25" s="9">
        <f>'إدخال الدرجات'!J25</f>
        <v>0</v>
      </c>
      <c r="K25" s="3" t="str">
        <f>'إدخال الدرجات'!K25</f>
        <v>يحتاج متابعة</v>
      </c>
      <c r="L25" s="3">
        <f t="shared" si="1"/>
        <v>0</v>
      </c>
      <c r="M25" s="3">
        <f t="shared" si="2"/>
        <v>0</v>
      </c>
      <c r="N25" s="9">
        <f t="shared" si="3"/>
        <v>0</v>
      </c>
      <c r="O25" s="3" t="str">
        <f t="shared" si="4"/>
        <v>خطة دعم مطلوبة</v>
      </c>
    </row>
    <row r="26">
      <c r="A26" s="3">
        <f>IF('إدخال الدرجات'!$J$26="","",'إدخال الدرجات'!$L$26)</f>
        <v>1</v>
      </c>
      <c r="B26" s="3" t="str">
        <f>'إدخال الدرجات'!B26</f>
        <v>طالب 24</v>
      </c>
      <c r="C26" s="3" t="str">
        <f>'إدخال الدرجات'!C26</f>
        <v/>
      </c>
      <c r="D26" s="3" t="str">
        <f>'إدخال الدرجات'!D26</f>
        <v/>
      </c>
      <c r="E26" s="3" t="str">
        <f>'إدخال الدرجات'!E26</f>
        <v/>
      </c>
      <c r="F26" s="3" t="str">
        <f>'إدخال الدرجات'!F26</f>
        <v/>
      </c>
      <c r="G26" s="3" t="str">
        <f>'إدخال الدرجات'!G26</f>
        <v/>
      </c>
      <c r="H26" s="3" t="str">
        <f>'إدخال الدرجات'!H26</f>
        <v/>
      </c>
      <c r="I26" s="3">
        <f>'إدخال الدرجات'!I26</f>
        <v>0</v>
      </c>
      <c r="J26" s="9">
        <f>'إدخال الدرجات'!J26</f>
        <v>0</v>
      </c>
      <c r="K26" s="3" t="str">
        <f>'إدخال الدرجات'!K26</f>
        <v>يحتاج متابعة</v>
      </c>
      <c r="L26" s="3">
        <f t="shared" si="1"/>
        <v>0</v>
      </c>
      <c r="M26" s="3">
        <f t="shared" si="2"/>
        <v>0</v>
      </c>
      <c r="N26" s="9">
        <f t="shared" si="3"/>
        <v>0</v>
      </c>
      <c r="O26" s="3" t="str">
        <f t="shared" si="4"/>
        <v>خطة دعم مطلوبة</v>
      </c>
    </row>
    <row r="27">
      <c r="A27" s="3">
        <f>IF('إدخال الدرجات'!$J$27="","",'إدخال الدرجات'!$L$27)</f>
        <v>1</v>
      </c>
      <c r="B27" s="3" t="str">
        <f>'إدخال الدرجات'!B27</f>
        <v>طالب 25</v>
      </c>
      <c r="C27" s="3" t="str">
        <f>'إدخال الدرجات'!C27</f>
        <v/>
      </c>
      <c r="D27" s="3" t="str">
        <f>'إدخال الدرجات'!D27</f>
        <v/>
      </c>
      <c r="E27" s="3" t="str">
        <f>'إدخال الدرجات'!E27</f>
        <v/>
      </c>
      <c r="F27" s="3" t="str">
        <f>'إدخال الدرجات'!F27</f>
        <v/>
      </c>
      <c r="G27" s="3" t="str">
        <f>'إدخال الدرجات'!G27</f>
        <v/>
      </c>
      <c r="H27" s="3" t="str">
        <f>'إدخال الدرجات'!H27</f>
        <v/>
      </c>
      <c r="I27" s="3">
        <f>'إدخال الدرجات'!I27</f>
        <v>0</v>
      </c>
      <c r="J27" s="9">
        <f>'إدخال الدرجات'!J27</f>
        <v>0</v>
      </c>
      <c r="K27" s="3" t="str">
        <f>'إدخال الدرجات'!K27</f>
        <v>يحتاج متابعة</v>
      </c>
      <c r="L27" s="3">
        <f t="shared" si="1"/>
        <v>0</v>
      </c>
      <c r="M27" s="3">
        <f t="shared" si="2"/>
        <v>0</v>
      </c>
      <c r="N27" s="9">
        <f t="shared" si="3"/>
        <v>0</v>
      </c>
      <c r="O27" s="3" t="str">
        <f t="shared" si="4"/>
        <v>خطة دعم مطلوبة</v>
      </c>
    </row>
    <row r="28">
      <c r="A28" s="3">
        <f>IF('إدخال الدرجات'!$J$28="","",'إدخال الدرجات'!$L$28)</f>
        <v>1</v>
      </c>
      <c r="B28" s="3" t="str">
        <f>'إدخال الدرجات'!B28</f>
        <v>طالب 26</v>
      </c>
      <c r="C28" s="3" t="str">
        <f>'إدخال الدرجات'!C28</f>
        <v/>
      </c>
      <c r="D28" s="3" t="str">
        <f>'إدخال الدرجات'!D28</f>
        <v/>
      </c>
      <c r="E28" s="3" t="str">
        <f>'إدخال الدرجات'!E28</f>
        <v/>
      </c>
      <c r="F28" s="3" t="str">
        <f>'إدخال الدرجات'!F28</f>
        <v/>
      </c>
      <c r="G28" s="3" t="str">
        <f>'إدخال الدرجات'!G28</f>
        <v/>
      </c>
      <c r="H28" s="3" t="str">
        <f>'إدخال الدرجات'!H28</f>
        <v/>
      </c>
      <c r="I28" s="3">
        <f>'إدخال الدرجات'!I28</f>
        <v>0</v>
      </c>
      <c r="J28" s="9">
        <f>'إدخال الدرجات'!J28</f>
        <v>0</v>
      </c>
      <c r="K28" s="3" t="str">
        <f>'إدخال الدرجات'!K28</f>
        <v>يحتاج متابعة</v>
      </c>
      <c r="L28" s="3">
        <f t="shared" si="1"/>
        <v>0</v>
      </c>
      <c r="M28" s="3">
        <f t="shared" si="2"/>
        <v>0</v>
      </c>
      <c r="N28" s="9">
        <f t="shared" si="3"/>
        <v>0</v>
      </c>
      <c r="O28" s="3" t="str">
        <f t="shared" si="4"/>
        <v>خطة دعم مطلوبة</v>
      </c>
    </row>
    <row r="29">
      <c r="A29" s="3">
        <f>IF('إدخال الدرجات'!$J$29="","",'إدخال الدرجات'!$L$29)</f>
        <v>1</v>
      </c>
      <c r="B29" s="3" t="str">
        <f>'إدخال الدرجات'!B29</f>
        <v>طالب 27</v>
      </c>
      <c r="C29" s="3" t="str">
        <f>'إدخال الدرجات'!C29</f>
        <v/>
      </c>
      <c r="D29" s="3" t="str">
        <f>'إدخال الدرجات'!D29</f>
        <v/>
      </c>
      <c r="E29" s="3" t="str">
        <f>'إدخال الدرجات'!E29</f>
        <v/>
      </c>
      <c r="F29" s="3" t="str">
        <f>'إدخال الدرجات'!F29</f>
        <v/>
      </c>
      <c r="G29" s="3" t="str">
        <f>'إدخال الدرجات'!G29</f>
        <v/>
      </c>
      <c r="H29" s="3" t="str">
        <f>'إدخال الدرجات'!H29</f>
        <v/>
      </c>
      <c r="I29" s="3">
        <f>'إدخال الدرجات'!I29</f>
        <v>0</v>
      </c>
      <c r="J29" s="9">
        <f>'إدخال الدرجات'!J29</f>
        <v>0</v>
      </c>
      <c r="K29" s="3" t="str">
        <f>'إدخال الدرجات'!K29</f>
        <v>يحتاج متابعة</v>
      </c>
      <c r="L29" s="3">
        <f t="shared" si="1"/>
        <v>0</v>
      </c>
      <c r="M29" s="3">
        <f t="shared" si="2"/>
        <v>0</v>
      </c>
      <c r="N29" s="9">
        <f t="shared" si="3"/>
        <v>0</v>
      </c>
      <c r="O29" s="3" t="str">
        <f t="shared" si="4"/>
        <v>خطة دعم مطلوبة</v>
      </c>
    </row>
    <row r="30">
      <c r="A30" s="3">
        <f>IF('إدخال الدرجات'!$J$30="","",'إدخال الدرجات'!$L$30)</f>
        <v>1</v>
      </c>
      <c r="B30" s="3" t="str">
        <f>'إدخال الدرجات'!B30</f>
        <v>طالب 28</v>
      </c>
      <c r="C30" s="3" t="str">
        <f>'إدخال الدرجات'!C30</f>
        <v/>
      </c>
      <c r="D30" s="3" t="str">
        <f>'إدخال الدرجات'!D30</f>
        <v/>
      </c>
      <c r="E30" s="3" t="str">
        <f>'إدخال الدرجات'!E30</f>
        <v/>
      </c>
      <c r="F30" s="3" t="str">
        <f>'إدخال الدرجات'!F30</f>
        <v/>
      </c>
      <c r="G30" s="3" t="str">
        <f>'إدخال الدرجات'!G30</f>
        <v/>
      </c>
      <c r="H30" s="3" t="str">
        <f>'إدخال الدرجات'!H30</f>
        <v/>
      </c>
      <c r="I30" s="3">
        <f>'إدخال الدرجات'!I30</f>
        <v>0</v>
      </c>
      <c r="J30" s="9">
        <f>'إدخال الدرجات'!J30</f>
        <v>0</v>
      </c>
      <c r="K30" s="3" t="str">
        <f>'إدخال الدرجات'!K30</f>
        <v>يحتاج متابعة</v>
      </c>
      <c r="L30" s="3">
        <f t="shared" si="1"/>
        <v>0</v>
      </c>
      <c r="M30" s="3">
        <f t="shared" si="2"/>
        <v>0</v>
      </c>
      <c r="N30" s="9">
        <f t="shared" si="3"/>
        <v>0</v>
      </c>
      <c r="O30" s="3" t="str">
        <f t="shared" si="4"/>
        <v>خطة دعم مطلوبة</v>
      </c>
    </row>
    <row r="31">
      <c r="A31" s="3">
        <f>IF('إدخال الدرجات'!$J$31="","",'إدخال الدرجات'!$L$31)</f>
        <v>1</v>
      </c>
      <c r="B31" s="3" t="str">
        <f>'إدخال الدرجات'!B31</f>
        <v>طالب 29</v>
      </c>
      <c r="C31" s="3" t="str">
        <f>'إدخال الدرجات'!C31</f>
        <v/>
      </c>
      <c r="D31" s="3" t="str">
        <f>'إدخال الدرجات'!D31</f>
        <v/>
      </c>
      <c r="E31" s="3" t="str">
        <f>'إدخال الدرجات'!E31</f>
        <v/>
      </c>
      <c r="F31" s="3" t="str">
        <f>'إدخال الدرجات'!F31</f>
        <v/>
      </c>
      <c r="G31" s="3" t="str">
        <f>'إدخال الدرجات'!G31</f>
        <v/>
      </c>
      <c r="H31" s="3" t="str">
        <f>'إدخال الدرجات'!H31</f>
        <v/>
      </c>
      <c r="I31" s="3">
        <f>'إدخال الدرجات'!I31</f>
        <v>0</v>
      </c>
      <c r="J31" s="9">
        <f>'إدخال الدرجات'!J31</f>
        <v>0</v>
      </c>
      <c r="K31" s="3" t="str">
        <f>'إدخال الدرجات'!K31</f>
        <v>يحتاج متابعة</v>
      </c>
      <c r="L31" s="3">
        <f t="shared" si="1"/>
        <v>0</v>
      </c>
      <c r="M31" s="3">
        <f t="shared" si="2"/>
        <v>0</v>
      </c>
      <c r="N31" s="9">
        <f t="shared" si="3"/>
        <v>0</v>
      </c>
      <c r="O31" s="3" t="str">
        <f t="shared" si="4"/>
        <v>خطة دعم مطلوبة</v>
      </c>
    </row>
    <row r="32">
      <c r="A32" s="3">
        <f>IF('إدخال الدرجات'!$J$32="","",'إدخال الدرجات'!$L$32)</f>
        <v>1</v>
      </c>
      <c r="B32" s="3" t="str">
        <f>'إدخال الدرجات'!B32</f>
        <v>طالب 30</v>
      </c>
      <c r="C32" s="3" t="str">
        <f>'إدخال الدرجات'!C32</f>
        <v/>
      </c>
      <c r="D32" s="3" t="str">
        <f>'إدخال الدرجات'!D32</f>
        <v/>
      </c>
      <c r="E32" s="3" t="str">
        <f>'إدخال الدرجات'!E32</f>
        <v/>
      </c>
      <c r="F32" s="3" t="str">
        <f>'إدخال الدرجات'!F32</f>
        <v/>
      </c>
      <c r="G32" s="3" t="str">
        <f>'إدخال الدرجات'!G32</f>
        <v/>
      </c>
      <c r="H32" s="3" t="str">
        <f>'إدخال الدرجات'!H32</f>
        <v/>
      </c>
      <c r="I32" s="3">
        <f>'إدخال الدرجات'!I32</f>
        <v>0</v>
      </c>
      <c r="J32" s="9">
        <f>'إدخال الدرجات'!J32</f>
        <v>0</v>
      </c>
      <c r="K32" s="3" t="str">
        <f>'إدخال الدرجات'!K32</f>
        <v>يحتاج متابعة</v>
      </c>
      <c r="L32" s="3">
        <f t="shared" si="1"/>
        <v>0</v>
      </c>
      <c r="M32" s="3">
        <f t="shared" si="2"/>
        <v>0</v>
      </c>
      <c r="N32" s="9">
        <f t="shared" si="3"/>
        <v>0</v>
      </c>
      <c r="O32" s="3" t="str">
        <f t="shared" si="4"/>
        <v>خطة دعم مطلوبة</v>
      </c>
    </row>
  </sheetData>
  <mergeCells count="1">
    <mergeCell ref="A1:O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</row>
    <row r="2">
      <c r="A2" s="3" t="s">
        <v>5</v>
      </c>
      <c r="B2" s="3">
        <v>100.0</v>
      </c>
      <c r="C2" s="3" t="s">
        <v>6</v>
      </c>
    </row>
    <row r="3">
      <c r="A3" s="3" t="s">
        <v>7</v>
      </c>
      <c r="B3" s="3">
        <v>50.0</v>
      </c>
      <c r="C3" s="3" t="s">
        <v>8</v>
      </c>
    </row>
    <row r="4">
      <c r="A4" s="3" t="s">
        <v>9</v>
      </c>
      <c r="B4" s="3">
        <v>30.0</v>
      </c>
      <c r="C4" s="3" t="s">
        <v>10</v>
      </c>
    </row>
    <row r="5">
      <c r="A5" s="3" t="s">
        <v>11</v>
      </c>
      <c r="B5" s="3">
        <v>6.0</v>
      </c>
      <c r="C5" s="3" t="s">
        <v>12</v>
      </c>
    </row>
  </sheetData>
  <drawing r:id="rId1"/>
</worksheet>
</file>